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GM ACADEMY\PROJECT VENDOR OUTBOUND ID\PROJECT YANG SUDAH DIDEPLOY DOMAIN\venroroutboundid\"/>
    </mc:Choice>
  </mc:AlternateContent>
  <xr:revisionPtr revIDLastSave="0" documentId="13_ncr:1_{4E86FEB5-0569-4758-B30A-7AE1825904CD}" xr6:coauthVersionLast="47" xr6:coauthVersionMax="47" xr10:uidLastSave="{00000000-0000-0000-0000-000000000000}"/>
  <bookViews>
    <workbookView xWindow="-110" yWindow="-110" windowWidth="19420" windowHeight="10120" activeTab="3" xr2:uid="{00000000-000D-0000-FFFF-FFFF00000000}"/>
  </bookViews>
  <sheets>
    <sheet name="TOC &amp; Dashboard" sheetId="1" r:id="rId1"/>
    <sheet name="Keyword Mapping" sheetId="2" r:id="rId2"/>
    <sheet name="30-day Blog Calendar" sheetId="3" r:id="rId3"/>
    <sheet name="Sheet1" sheetId="9" r:id="rId4"/>
    <sheet name="Social Media Plan" sheetId="4" r:id="rId5"/>
    <sheet name="Internal Linking" sheetId="5" r:id="rId6"/>
    <sheet name="Template Brief Konten" sheetId="6" r:id="rId7"/>
    <sheet name="SOP &amp; Konten Briefs" sheetId="7" r:id="rId8"/>
    <sheet name="Master Data Keywords" sheetId="8" r:id="rId9"/>
  </sheets>
  <calcPr calcId="191029"/>
</workbook>
</file>

<file path=xl/calcChain.xml><?xml version="1.0" encoding="utf-8"?>
<calcChain xmlns="http://schemas.openxmlformats.org/spreadsheetml/2006/main">
  <c r="E16" i="8" l="1"/>
  <c r="D16" i="8"/>
  <c r="C20" i="1"/>
  <c r="C19" i="1"/>
  <c r="C18" i="1"/>
  <c r="C17" i="1"/>
  <c r="C16" i="1"/>
  <c r="C15" i="1"/>
  <c r="C14" i="1"/>
  <c r="C13" i="1"/>
</calcChain>
</file>

<file path=xl/sharedStrings.xml><?xml version="1.0" encoding="utf-8"?>
<sst xmlns="http://schemas.openxmlformats.org/spreadsheetml/2006/main" count="839" uniqueCount="564">
  <si>
    <t>VENDOR OUTBOUND 2026 - WEB STRATEGY ROADMAP
(SEO, AEO, GEO Master Implementation Plan)</t>
  </si>
  <si>
    <t>Konteks Bisnis &amp; Domain</t>
  </si>
  <si>
    <t>Nama Brand:</t>
  </si>
  <si>
    <t>Vendor Outbound</t>
  </si>
  <si>
    <t>Domain Resmi:</t>
  </si>
  <si>
    <t>https://venroroutbound.id</t>
  </si>
  <si>
    <t>Kontak Resmi WA:</t>
  </si>
  <si>
    <t>+62 82211221909</t>
  </si>
  <si>
    <t>Target Segment:</t>
  </si>
  <si>
    <t>Korporasi (Corporate), Sekolah, Family Gathering, Outbound Wisata</t>
  </si>
  <si>
    <t>Focus Positioning:</t>
  </si>
  <si>
    <t>Pengembangan SDM kreatif, inovatif, teamwork, leadership (No Fake Claims!)</t>
  </si>
  <si>
    <t>DIRECTORY SPREADSHEET (TABLE OF CONTENTS)</t>
  </si>
  <si>
    <t>Nama Sheet</t>
  </si>
  <si>
    <t>Deskripsi Konten</t>
  </si>
  <si>
    <t>Link Navigasi</t>
  </si>
  <si>
    <t>Pilar Fokus</t>
  </si>
  <si>
    <t>Status</t>
  </si>
  <si>
    <t>TOC &amp; Dashboard</t>
  </si>
  <si>
    <t>Navigasi utama, legenda warna, status campaign, dan KPI summary.</t>
  </si>
  <si>
    <t>General Strategy</t>
  </si>
  <si>
    <t>Aktif</t>
  </si>
  <si>
    <t>Keyword Mapping</t>
  </si>
  <si>
    <t>Struktur sitemap lengkap dengan target keyword, deskripsi, heading, dan schema.</t>
  </si>
  <si>
    <t>SEO Teknis &amp; On-Page</t>
  </si>
  <si>
    <t>30-day Blog Calendar</t>
  </si>
  <si>
    <t>Kalender konten 30 hari viral &amp; edukatif. Pola 3 artikel/hari (Aware, Consider, Comm).</t>
  </si>
  <si>
    <t>AEO &amp; Topical Authority</t>
  </si>
  <si>
    <t>Social Media Plan</t>
  </si>
  <si>
    <t>Distribusi konten blog ke Instagram, TikTok, LinkedIn dengan hook viral.</t>
  </si>
  <si>
    <t>GEO &amp; Brand Mention</t>
  </si>
  <si>
    <t>Internal Linking</t>
  </si>
  <si>
    <t>Peta struktur internal linking (Homepage -&gt; Hub -&gt; Kategori -&gt; Detail -&gt; Artikel).</t>
  </si>
  <si>
    <t>SEO Architecture</t>
  </si>
  <si>
    <t>Template Brief Konten</t>
  </si>
  <si>
    <t>Template standard brief konten untuk tim penulis untuk menjamin kualitas standar AEO/SEO.</t>
  </si>
  <si>
    <t>E-E-A-T &amp; Quality Gate</t>
  </si>
  <si>
    <t>SOP &amp; Konten Briefs</t>
  </si>
  <si>
    <t>SOP penulisan AEO-first, GEO checklist, serta draft brief konten unggulan.</t>
  </si>
  <si>
    <t>Prosedur Produksi</t>
  </si>
  <si>
    <t>Master Data Keywords</t>
  </si>
  <si>
    <t>Database keyword utama untuk outbound perusahaan, sekolah, family, dan wisata.</t>
  </si>
  <si>
    <t>Topical Cluster Data</t>
  </si>
  <si>
    <t>LEGENDA FORMAT SPREADSHEET</t>
  </si>
  <si>
    <t>Light Blue</t>
  </si>
  <si>
    <t>Input Manual (Editable) - Nilai / Teks yang bisa Anda ubah sesuai data riil</t>
  </si>
  <si>
    <t>Light Green</t>
  </si>
  <si>
    <t>Formula / Calculated - Otomatis terhitung, jangan diedit manual</t>
  </si>
  <si>
    <t>Light Yellow</t>
  </si>
  <si>
    <t>Review / Placeholder - Memerlukan penyesuaian/verifikasi di lapangan</t>
  </si>
  <si>
    <t>No Fill</t>
  </si>
  <si>
    <t>Teks Informasi Statis atau Label Deskriptif</t>
  </si>
  <si>
    <t>Generated in 2026 | v1.0 Master Web Strategy for venroroutbound.id</t>
  </si>
  <si>
    <t>SITEMAP ARCHITECTURE &amp; KEYWORD MAPPING (SEO 2026)</t>
  </si>
  <si>
    <t>No</t>
  </si>
  <si>
    <t>Tingkat/Kategori</t>
  </si>
  <si>
    <t>Halaman / Path</t>
  </si>
  <si>
    <t>Primary Keyword</t>
  </si>
  <si>
    <t>Secondary Keywords</t>
  </si>
  <si>
    <t>Search Intent</t>
  </si>
  <si>
    <t>Title Tag (50-60 char)</t>
  </si>
  <si>
    <t>Meta Description (140-160 char)</t>
  </si>
  <si>
    <t>JSON-LD Schema</t>
  </si>
  <si>
    <t>Direct Answer Concept (AEO)</t>
  </si>
  <si>
    <t>1</t>
  </si>
  <si>
    <t>Root</t>
  </si>
  <si>
    <t>/index.html</t>
  </si>
  <si>
    <t>vendor outbound</t>
  </si>
  <si>
    <t>outbound corporate, team building malang, vendor outbound batu, outbound mojokerto, outbound banyuwangi</t>
  </si>
  <si>
    <t>Commercial / Brand</t>
  </si>
  <si>
    <t>Vendor Outbound - Outbound Kreatif Pengembangan SDM</t>
  </si>
  <si>
    <t>Penyedia layanan outbound kreatif dan inovatif fokus pengembangan teamwork, leadership, dan karakter SDM perusahaan secara profesional.</t>
  </si>
  <si>
    <t>WebSite, Organization, ProfessionalService, ItemList</t>
  </si>
  <si>
    <t>Vendor Outbound adalah penyedia layanan outbound kreatif yang fokus pada pengembangan SDM melalui simulasi teamwork dan leadership berbasis manfaat.</t>
  </si>
  <si>
    <t>2</t>
  </si>
  <si>
    <t>Tentang Kami</t>
  </si>
  <si>
    <t>/tentang-kami.html</t>
  </si>
  <si>
    <t>profil vendor outbound</t>
  </si>
  <si>
    <t>sejarah vendor outbound, team trainer outbound</t>
  </si>
  <si>
    <t>Informational</t>
  </si>
  <si>
    <t>Tentang Kami - Tim Profesional Vendor Outbound</t>
  </si>
  <si>
    <t>Kenali Vendor Outbound, mitra tepercaya pengembangan karakter SDM. Berorientasi pada keselamatan, kenyamanan, dan evaluasi hasil nyata.</t>
  </si>
  <si>
    <t>AboutPage, Organization, BreadcrumbList</t>
  </si>
  <si>
    <t>Tentang Kami berisi profil tim trainer profesional Vendor Outbound yang mengutamakan keselamatan, kenyamanan, dan keselarasan program dengan budaya kerja klien.</t>
  </si>
  <si>
    <t>3</t>
  </si>
  <si>
    <t>Produk Hub</t>
  </si>
  <si>
    <t>/produk.html</t>
  </si>
  <si>
    <t>paket outbound</t>
  </si>
  <si>
    <t>program outbound, outbound training, paket team building</t>
  </si>
  <si>
    <t>Commercial</t>
  </si>
  <si>
    <t>Paket Outbound &amp; Program Team Building Kreatif 2026</t>
  </si>
  <si>
    <t>Pilihan paket outbound terlengkap mulai dari outbound perusahaan, sekolah, family gathering, hingga outbound wisata alam seru.</t>
  </si>
  <si>
    <t>CollectionPage, ItemList, BreadcrumbList</t>
  </si>
  <si>
    <t>Halaman Produk menyediakan direktori paket outbound yang dikategorikan berdasarkan kebutuhan peserta seperti korporasi, sekolah, wisata, dan keluarga.</t>
  </si>
  <si>
    <t>4</t>
  </si>
  <si>
    <t>Paket Hub</t>
  </si>
  <si>
    <t>/paket.html</t>
  </si>
  <si>
    <t>paket outbound murah</t>
  </si>
  <si>
    <t>pilihan paket outbound, rundown outbound</t>
  </si>
  <si>
    <t>Commercial / Transactional</t>
  </si>
  <si>
    <t>Paket Outbound Lengkap - Harga &amp; Fasilitas Terbaik</t>
  </si>
  <si>
    <t>Dapatkan detail paket outbound terlengkap. Tersedia paket hemat, standar, premium, hingga custom sesuai budget instansi Anda.</t>
  </si>
  <si>
    <t>CollectionPage, ItemList, BreadcrumbList, FAQPage</t>
  </si>
  <si>
    <t>Paket Outbound kami tawarkan dalam berbagai variasi mulai dari paket hemat, standar, hingga premium yang bisa disesuaikan dengan kapasitas dan rundown acara.</t>
  </si>
  <si>
    <t>5</t>
  </si>
  <si>
    <t>Paket Detail</t>
  </si>
  <si>
    <t>/paket/outbound-perusahaan/team-building.html</t>
  </si>
  <si>
    <t>outbound team building</t>
  </si>
  <si>
    <t>corporate team building, pelatihan teamwork</t>
  </si>
  <si>
    <t>Transactional</t>
  </si>
  <si>
    <t>Paket Outbound Team Building Perusahaan | Vendor Outbound</t>
  </si>
  <si>
    <t>Tingkatkan kolaborasi tim kerja Anda dengan paket outbound team building interaktif. Dirancang khusus untuk memacu kerja sama &amp; komunikasi.</t>
  </si>
  <si>
    <t>Service, BreadcrumbList, FAQPage</t>
  </si>
  <si>
    <t>Program Outbound Team Building adalah program pelatihan luar ruang yang dirancang khusus untuk mempererat komunikasi, kepercayaan, dan kolaborasi tim.</t>
  </si>
  <si>
    <t>6</t>
  </si>
  <si>
    <t>/paket/outbound-perusahaan/fun-games.html</t>
  </si>
  <si>
    <t>outbound fun games</t>
  </si>
  <si>
    <t>permainan outbound seru, ice breaking karyawan</t>
  </si>
  <si>
    <t>Outbound Fun Games Karyawan Seru &amp; Energik</t>
  </si>
  <si>
    <t>Nikmati keseruan outbound fun games yang menyegarkan pikiran karyawan. Solusi terbaik untuk melepas penat dan membangun keakraban.</t>
  </si>
  <si>
    <t>Outbound Fun Games berfokus pada rekreasi dan penyegaran suasana kerja lewat permainan interaktif yang ringan, menghibur, namun kaya makna kebersamaan.</t>
  </si>
  <si>
    <t>7</t>
  </si>
  <si>
    <t>/paket/outbound-perusahaan/leadership.html</t>
  </si>
  <si>
    <t>outbound leadership training</t>
  </si>
  <si>
    <t>pelatihan kepemimpinan outbound, outbound manajer</t>
  </si>
  <si>
    <t>Outbound Leadership Training - Bangun Jiwa Pemimpin</t>
  </si>
  <si>
    <t>Program outbound leadership training untuk melatih pengambilan keputusan, problem solving, dan kepemimpinan strategis dalam organisasi.</t>
  </si>
  <si>
    <t>Outbound Leadership Training dirancang untuk menstimulasi keterampilan kepemimpinan peserta melalui tantangan simulasi problem solving yang terukur.</t>
  </si>
  <si>
    <t>8</t>
  </si>
  <si>
    <t>/paket/family-gathering/paket-standard.html</t>
  </si>
  <si>
    <t>family gathering outbound</t>
  </si>
  <si>
    <t>outbound keluarga, paket standard family gathering</t>
  </si>
  <si>
    <t>Paket Standard Family Gathering Seru | Vendor Outbound</t>
  </si>
  <si>
    <t>Rencanakan liburan keluarga besar atau komunitas dengan paket standard family gathering. Dilengkapi fun games ramah anak dan dewasa.</t>
  </si>
  <si>
    <t>Paket Standard Family Gathering menyediakan kombinasi rekreasi keluarga dengan simulasi games ringan yang cocok untuk segala usia.</t>
  </si>
  <si>
    <t>9</t>
  </si>
  <si>
    <t>/paket/outbound-sekolah/outbound-pelajar.html</t>
  </si>
  <si>
    <t>outbound anak sekolah</t>
  </si>
  <si>
    <t>outbound pelajar, edukasi outbound anak</t>
  </si>
  <si>
    <t>Paket Outbound Pelajar &amp; Anak Sekolah Edukatif</t>
  </si>
  <si>
    <t>Metode belajar luar ruangan yang menyenangkan untuk pelajar SD, SMP, SMA. Fokus pembentukan karakter, kemandirian, dan kerja sama.</t>
  </si>
  <si>
    <t>Outbound Anak Sekolah adalah program edukasi outdoor yang melatih kemandirian, kedisiplinan, dan kerja sama tim siswa sejak usia dini.</t>
  </si>
  <si>
    <t>10</t>
  </si>
  <si>
    <t>/paket/outbound-wisata/outbound-rafting.html</t>
  </si>
  <si>
    <t>outbound plus rafting</t>
  </si>
  <si>
    <t>paket rafting batu malang, rafting pacet mojokerto, arung jeram banyuwangi, outbound arung jeram</t>
  </si>
  <si>
    <t>Paket Outbound Plus Rafting Arung Jeram Menantang</t>
  </si>
  <si>
    <t>Kombinasi seru simulasi outbound team building dan arung jeram (rafting). Pacu adrenalin dan kekompakan tim Anda sekarang.</t>
  </si>
  <si>
    <t>Paket Outbound Plus Rafting memadukan tantangan kerja sama tim di darat dengan petualangan arung jeram sungai yang aman didampingi guide bersertifikat.</t>
  </si>
  <si>
    <t>30-DAY VIRAL &amp; AUTHORITY BLOG CALENDAR (Pola 3 Artikel / Hari)</t>
  </si>
  <si>
    <t>Hari</t>
  </si>
  <si>
    <t>Tipe Artikel</t>
  </si>
  <si>
    <t>Judul Artikel (Menarik &amp; Potensi Viral)</t>
  </si>
  <si>
    <t>Target Slug</t>
  </si>
  <si>
    <t>Target Audience</t>
  </si>
  <si>
    <t>Viral Hook / Angle Pembahasan</t>
  </si>
  <si>
    <t>Direct Answer (40-80 kata untuk AEO)</t>
  </si>
  <si>
    <t>Internal Link Ke Halaman Layanan</t>
  </si>
  <si>
    <t>Call to Action WA</t>
  </si>
  <si>
    <t>FAQ Utama</t>
  </si>
  <si>
    <t>H-01</t>
  </si>
  <si>
    <t>Awareness</t>
  </si>
  <si>
    <t>Membangun Sinergi Tim Tanpa Jenuh: 5 Permainan Outbound Kreatif &amp; Kolaboratif</t>
  </si>
  <si>
    <t>game-outbound-kreatif-karyawan</t>
  </si>
  <si>
    <t>permainan outbound seru</t>
  </si>
  <si>
    <t>HRD &amp; Manager Perusahaan</t>
  </si>
  <si>
    <t>Menghubungkan permainan outbound kreatif dengan penurunan tingkat stress kerja karyawan.</t>
  </si>
  <si>
    <t>Permainan outbound seru adalah simulasi kelompok yang dirancang untuk membangun keakraban karyawan tanpa tekanan formal. Melalui tawa dan interaksi santai, game ini efektif menurunkan tingkat stress kerja.</t>
  </si>
  <si>
    <t>Ingin tim kerja Anda lebih kompak dan segar? Hubungi WhatsApp kami di +62 82211221909 untuk konsultasi paket fun games seru.</t>
  </si>
  <si>
    <t>Apa tujuan utama outbound fun games? Untuk menyegarkan pikiran dan mempererat keakraban antar karyawan.</t>
  </si>
  <si>
    <t>Consideration</t>
  </si>
  <si>
    <t>Kenapa Team Building Kantor Sering Gagal? Ini 3 Kesalahan HRD</t>
  </si>
  <si>
    <t>kesalahan-team-building-kantor</t>
  </si>
  <si>
    <t>HRD &amp; Owner Bisnis</t>
  </si>
  <si>
    <t>Mengupas tuntas kenapa aktivitas outbound sering dicap garing dan tidak memberikan dampak jangka panjang bagi produktivitas.</t>
  </si>
  <si>
    <t>Kesalahan utama team building kantor yang sering gagal adalah tidak adanya keselarasan antara simulasi game dengan isu internal tim. Outbound team building yang sukses wajib memadukan unsur tantangan nyata dengan refleksi pasca-game.</t>
  </si>
  <si>
    <t>Konsultasikan kebutuhan team building Anda bersama trainer bersertifikat kami via WA +62 82211221909.</t>
  </si>
  <si>
    <t>Bagaimana cara memilih program team building yang efektif? Pilih program yang disesuaikan dengan isu komunikasi atau kolaborasi di tim Anda.</t>
  </si>
  <si>
    <t>Rekomendasi Vendor Outbound Perusahaan Profesional di Batu &amp; Malang</t>
  </si>
  <si>
    <t>vendor-outbound-perusahaan-batu-malang</t>
  </si>
  <si>
    <t>Direktur &amp; HR Manager</t>
  </si>
  <si>
    <t>Memposisikan 'Vendor Outbound' sebagai partner profesional yang menekankan keselamatan, no fake claims, dan program berbasis manfaat nyata.</t>
  </si>
  <si>
    <t>Vendor Outbound adalah penyedia layanan outbound profesional berfokus pada pengembangan SDM melalui simulasi kreatif yang terukur. Kami melayani wilayah Batu, Malang, Mojokerto, Banyuwangi, dan sekitarnya di Jawa Timur dengan komitmen keselamatan penuh.</t>
  </si>
  <si>
    <t>Dapatkan penawaran harga paket outbound kustom untuk perusahaan Anda sekarang via WhatsApp +62 82211221909.</t>
  </si>
  <si>
    <t>Mengapa harus menggunakan Vendor Outbound? Karena kami menyusun program berbasis hasil nyata (outcomes) dan mengutamakan keselamatan peserta.</t>
  </si>
  <si>
    <t>H-02</t>
  </si>
  <si>
    <t>Membangun Karakter Pelajar di Luar Kelas: Manfaat Nyata Edukasi Outdoor</t>
  </si>
  <si>
    <t>manfaat-edukasi-outdoor-pelajar</t>
  </si>
  <si>
    <t>Guru &amp; Kepala Sekolah</t>
  </si>
  <si>
    <t>Sudut pandang psikologi anak tentang pentingnya bermain sambil belajar di alam bebas untuk melatih kemandirian.</t>
  </si>
  <si>
    <t>Outbound anak sekolah adalah metode edukasi outdoor yang terbukti melatih kemandirian, kedisiplinan, dan empati sosial sejak dini. Aktivitas ini memindahkan ruang belajar pasif ke petualangan interaktif.</t>
  </si>
  <si>
    <t>Rencanakan kegiatan outbound edukatif untuk sekolah Anda. Klik tombol WhatsApp +62 82211221909.</t>
  </si>
  <si>
    <t>Apakah outbound anak sekolah aman? Sangat aman karena dirancang sesuai batas fisik anak dan dipandu fasilitator ahli.</t>
  </si>
  <si>
    <t>Outbound Pelajar vs Class Meeting: Mana yang Lebih Efektif Bangun Karakter?</t>
  </si>
  <si>
    <t>outbound-pelajar-vs-class-meeting</t>
  </si>
  <si>
    <t>outbound pelajar</t>
  </si>
  <si>
    <t>Wakil Kepala Sekolah Kesiswaan</t>
  </si>
  <si>
    <t>Studi komparasi aktivitas sekolah konvensional dengan program outbound terstruktur yang fokus ke character building.</t>
  </si>
  <si>
    <t>Outbound pelajar lebih efektif membangun karakter dibanding class meeting biasa karena menggunakan metode experiential learning. Di sini siswa dihadapkan pada tantangan kelompok yang membutuhkan pemecahan masalah nyata.</t>
  </si>
  <si>
    <t>Dapatkan proposal penawaran khusus program outbound sekolah di +62 82211221909.</t>
  </si>
  <si>
    <t>Kapan waktu terbaik melaksanakan outbound sekolah? Biasanya di akhir semester setelah ujian selesai.</t>
  </si>
  <si>
    <t>Paket Outbound Sekolah Karakter Edukatif &amp; Terlengkap 2026</t>
  </si>
  <si>
    <t>paket-outbound-sekolah-karakter</t>
  </si>
  <si>
    <t>paket outbound sekolah</t>
  </si>
  <si>
    <t>Pengurus OSIS &amp; Komite Sekolah</t>
  </si>
  <si>
    <t>Menawarkan paket komprehensif outbound pelajar yang efisien namun memiliki dampak edukasi berstandar tinggi.</t>
  </si>
  <si>
    <t>Paket outbound sekolah kami tawarkan dengan program character building yang disesuaikan dengan kurikulum pendidikan nasional. Menyediakan simulasi kepemimpinan dan kerja sama yang menyenangkan bagi siswa.</t>
  </si>
  <si>
    <t>Konsultasikan budget outbound sekolah Anda melalui WhatsApp resmi di +62 82211221909.</t>
  </si>
  <si>
    <t>Berapa kapasitas minimum peserta outbound sekolah? Kami melayani kelompok sekolah mulai dari 30 peserta.</t>
  </si>
  <si>
    <t>H-03</t>
  </si>
  <si>
    <t>Membangun Harmoni &amp; Hubungan Erat Keluarga Besar: Tips Family Gathering yang Berkesan</t>
  </si>
  <si>
    <t>tips-family-gathering-berkesan</t>
  </si>
  <si>
    <t>Ibu Rumah Tangga &amp; Panitia Arisan</t>
  </si>
  <si>
    <t>Ide-ide kumpul keluarga besar agar tidak kaku, membosankan, atau berujung membicarakan gosip negatif.</t>
  </si>
  <si>
    <t>Family gathering outbound adalah solusi terbaik menyatukan keluarga besar lewat permainan kebersamaan yang meruntuhkan sekat usia. Mulai dari anak-anak hingga lansia dapat berinteraksi dengan gembira.</t>
  </si>
  <si>
    <t>Jadikan kumpul keluarga berikutnya penuh cerita seru. Hubungi admin Vendor Outbound di +62 82211221909.</t>
  </si>
  <si>
    <t>Siapa saja yang bisa ikut game family gathering? Seluruh anggota keluarga dari anak usia 5 tahun hingga lansia.</t>
  </si>
  <si>
    <t>Panduan Memilih Paket Family Gathering Sesuai Rentang Usia Anggota Keluarga</t>
  </si>
  <si>
    <t>panduan-memilih-paket-family-gathering</t>
  </si>
  <si>
    <t>outbound keluarga</t>
  </si>
  <si>
    <t>Panitia Acara Reuni Keluarga</t>
  </si>
  <si>
    <t>Menjelaskan detail pembagian porsi permainan fisik vs non-fisik demi kenyamanan semua generasi dalam satu acara.</t>
  </si>
  <si>
    <t>Memilih paket outbound keluarga wajib mempertimbangkan aspek keberagaman usia peserta. Pastikan memilih provider yang menyediakan variasi game fisik rendah risiko namun memiliki nilai kebersamaan tinggi.</t>
  </si>
  <si>
    <t>Butuh kustomisasi program untuk reuni keluarga Anda? Diskusikan dengan kami via WA +62 82211221909.</t>
  </si>
  <si>
    <t>Apa aktivitas terfavorit dalam family gathering? Fun games ringan di rumput terbuka diikuti sesi foto bersama.</t>
  </si>
  <si>
    <t>Promo Paket Standard Family Gathering Batu &amp; Malang 2026</t>
  </si>
  <si>
    <t>promo-paket-standard-family-gathering</t>
  </si>
  <si>
    <t>Koordinator Komunitas &amp; Keluarga</t>
  </si>
  <si>
    <t>Penawaran lengkap villa, konsumsi, dan fun games seru untuk mempererat bonding keluarga tanpa ribet.</t>
  </si>
  <si>
    <t>Paket Standard Family Gathering dari Vendor Outbound menawarkan kemudahan kumpul keluarga tanpa repot mengurus rundown. Sudah termasuk fasilitator game profesional, perlengkapan, dan dokumentasi.</t>
  </si>
  <si>
    <t>Booking tanggal acara reuni keluarga Anda hari ini via WhatsApp +62 82211221909.</t>
  </si>
  <si>
    <t>Fasilitas apa saja yang didapat pada paket standard family gathering? Tiket masuk area, sound system standar, 5 outbound games, trainer, dan banner acara.</t>
  </si>
  <si>
    <t>H-04</t>
  </si>
  <si>
    <t>Cara Ampuh Menghilangkan Kejenuhan Karyawan Setelah Rilis Projek Besar</t>
  </si>
  <si>
    <t>cara-menghilangkan-kejenuhan-karyawan-projek</t>
  </si>
  <si>
    <t>Project Manager &amp; HRD</t>
  </si>
  <si>
    <t>Menyoroti burnout pada tim IT/operasional dan bagaimana outbound satu hari sanggup me-recharge motivasi kerja.</t>
  </si>
  <si>
    <t>Mengatasi burnout karyawan setelah rilis projek besar dapat dilakukan melalui kegiatan rekreasi aktif di alam terbuka. Permainan outbound seru yang berfokus pada kolaboratif menyenangkan terbukti mengembalikan kesegaran mental.</t>
  </si>
  <si>
    <t>Segarkan kembali energi tim Anda sebelum memulai projek baru. Kontak kami di +62 82211221909.</t>
  </si>
  <si>
    <t>Berapa lama durasi ideal outbound untuk melepas penat? Program satu hari (1-day outbound) sangat ideal untuk penyegaran cepat.</t>
  </si>
  <si>
    <t>Rafting vs Offroad: Memilih Tantangan Wisata Outbound yang Tepat untuk Karakter Tim</t>
  </si>
  <si>
    <t>rafting-vs-offroad-outbound-tim</t>
  </si>
  <si>
    <t>Panitia Outbound Kantor</t>
  </si>
  <si>
    <t>Membandingkan dua aktivitas petualangan populer untuk memicu adrenalin dan kerja sama kelompok.</t>
  </si>
  <si>
    <t>Menentukan pilihan antara arung jeram (rafting) dan petualangan jeep (offroad) bergantung pada profil peserta. Outbound plus rafting sangat ideal melatih kerja sama tim dinamis di air, sementara offroad melatih ketangguhan mental.</t>
  </si>
  <si>
    <t>Tanyakan rute offroad dan arung jeram teraman untuk tim Anda di +62 82211221909.</t>
  </si>
  <si>
    <t>Apakah aman bagi peserta yang tidak bisa berenang untuk ikut rafting? Sangat aman karena setiap peserta wajib menggunakan pelampung berstandar dan didampingi pemandu.</t>
  </si>
  <si>
    <t>Paket Outbound Plus Rafting: Menggabungkan Tantangan Adrenalin &amp; Sinergi Kolaborasi dalam Satu Hari</t>
  </si>
  <si>
    <t>paket-outbound-plus-rafting-terintegrasi</t>
  </si>
  <si>
    <t>HRD &amp; Event Organizer</t>
  </si>
  <si>
    <t>Menawarkan paket bundling terintegrasi yang mengombinasikan team building darat dengan keseruan rafting di akhir sesi.</t>
  </si>
  <si>
    <t>Paket Outbound Plus Rafting memadukan simulasi kerja sama tim darat di pagi hari dengan petualangan arung jeram sungai di siang hari. Solusi terbaik untuk kepuasan dan peningkatan kolaborasi tim.</t>
  </si>
  <si>
    <t>Dapatkan diskon khusus rombongan perusahaan dengan menghubungi kami di +62 82211221909.</t>
  </si>
  <si>
    <t>Di mana lokasi arung jeram terpopuler di Jawa Timur? Sungai Baru di Banyuwangi, Kaliwatu di Batu, dan Pacet di Mojokerto merupakan lokasi terfavorit dengan jeram menantang.</t>
  </si>
  <si>
    <t>H-05</t>
  </si>
  <si>
    <t>Pentingnya Melatih Leadership Sejak Bangku Sekolah Menengah</t>
  </si>
  <si>
    <t>pentingnya-melatih-leadership-sekolah</t>
  </si>
  <si>
    <t>Kepala Sekolah &amp; Pembina OSIS</t>
  </si>
  <si>
    <t>Menganalisis fenomena krisis kepemimpinan di kalangan remaja dan solusi praktis pembentukannya via outdoor.</t>
  </si>
  <si>
    <t>Membangun jiwa kepemimpinan pelajar sejak usia dini memerlukan media praktis di luar ruang kelas. Outbound pelajar dengan simulasi kepemimpinan mengajarkan siswa cara mengambil keputusan taktis dan mengoordinasikan tim.</t>
  </si>
  <si>
    <t>Undang fasilitator kami untuk mengisi sesi kepemimpinan di sekolah Anda via WA +62 82211221909.</t>
  </si>
  <si>
    <t>Mulai usia berapa siswa bisa mengikuti outbound leadership? Mulai usia sekolah dasar (SD kelas 4) sudah bisa berpartisipasi.</t>
  </si>
  <si>
    <t>Menyusun Rundown Outbound Sekolah 2 Hari 1 Malam yang Efektif dan Seru</t>
  </si>
  <si>
    <t>rundown-outbound-sekolah-2-hari-1-malam</t>
  </si>
  <si>
    <t>Wakil Kesiswaan &amp; Guru</t>
  </si>
  <si>
    <t>Contoh susunan acara menginap (camping/villa) bagi siswa agar tidak bosan dan tetap dalam pengawasan guru.</t>
  </si>
  <si>
    <t>Rundown outbound sekolah yang baik harus menyeimbangkan materi kedisiplinan dengan aktivitas rekreasi edukatif. Durasi 2 hari 1 malam sangat cocok dikombinasikan dengan kegiatan api unggun dan character building.</t>
  </si>
  <si>
    <t>Dapatkan draf rundown kustom untuk acara sekolah Anda di nomor +62 82211221909.</t>
  </si>
  <si>
    <t>Berapa rasio pendamping guru dengan peserta didik? Idealnya 1 guru pendamping untuk setiap 20 siswa.</t>
  </si>
  <si>
    <t>Jasa Outbound Karakter Sekolah Terpercaya di Mojokerto &amp; Malang</t>
  </si>
  <si>
    <t>jasa-outbound-karakter-sekolah-terpercaya</t>
  </si>
  <si>
    <t>Yayasan Pendidikan &amp; Kepala Sekolah</t>
  </si>
  <si>
    <t>Menunjukkan kredibilitas Vendor Outbound dalam menangani ratusan siswa dengan aman dan ramah guru.</t>
  </si>
  <si>
    <t>Kami menyediakan jasa outbound karakter sekolah dengan trainer berpengalaman yang memahami psikologi perkembangan remaja. Fokus utama kami adalah membentuk disiplin, kerja sama, dan sopan santun peserta didik.</t>
  </si>
  <si>
    <t>Diskusikan rencana kegiatan tahunan sekolah Anda via WA di +62 82211221909.</t>
  </si>
  <si>
    <t>Bagaimana dengan sistem keamanan medis selama outbound? Kami selalu menyediakan tim P3K stand-by dan berkoordinasi dengan klinik terdekat.</t>
  </si>
  <si>
    <t>H-06</t>
  </si>
  <si>
    <t>Dampak Komunikasi Tim yang Buruk Terhadap Produktivitas &amp; Kinerja Perusahaan</t>
  </si>
  <si>
    <t>dampak-komunikasi-tim-buruk-produktivitas</t>
  </si>
  <si>
    <t>CEO, Owner &amp; HRD</t>
  </si>
  <si>
    <t>Menghubungkan miskomunikasi antar divisi dengan penurunan kepuasan pelanggan dan cara mengatasinya via simulasi.</t>
  </si>
  <si>
    <t>Miskomunikasi dalam tim kerja adalah penyebab utama penurunan produktivitas perusahaan. Melalui simulasi outbound team building, karyawan dilatih mendengarkan secara aktif dan menyampaikan pesan secara efektif.</t>
  </si>
  <si>
    <t>Sembuhkan kendala komunikasi antar divisi di kantor Anda. Konsultasikan dengan kami via +62 82211221909.</t>
  </si>
  <si>
    <t>Apakah outbound bisa memecahkan konflik internal karyawan? Ya, outbound menjadi media netral untuk mencairkan ketegangan antar personal.</t>
  </si>
  <si>
    <t>Layanan Vendor Outbound Profesional vs Kelola Mandiri: Analisis Keuntungan &amp; Efisiensi Tim</t>
  </si>
  <si>
    <t>layanan-outbound-profesional-vs-kelola-mandiri</t>
  </si>
  <si>
    <t>Direktur Keuangan &amp; HRD</t>
  </si>
  <si>
    <t>Menjabarkan perbandingan biaya riil, waktu, risiko cedera, dan efektivitas hasil antara sewa vendor vs DIY.</t>
  </si>
  <si>
    <t>Menyerahkan kegiatan kepada vendor outbound profesional jauh lebih menguntungkan secara finansial dibanding mengelola sendiri. Anda menghemat waktu perencanaan, meminimalisir risiko cedera, dan menjamin target program tercapai.</t>
  </si>
  <si>
    <t>Hemat waktu dan tenaga berharga Anda, hubungi tim ahli kami via WhatsApp di +62 82211221909.</t>
  </si>
  <si>
    <t>Berapa lama persiapan yang dibutuhkan jika menggunakan jasa vendor? Cukup 1-2 minggu dari penyusunan proposal hingga hari H.</t>
  </si>
  <si>
    <t>Katalog &amp; Struktur Paket Outbound Corporate Gathering Terbaru 2026</t>
  </si>
  <si>
    <t>katalog-paket-outbound-corporate-gathering</t>
  </si>
  <si>
    <t>HR &amp; Procurement</t>
  </si>
  <si>
    <t>Menyediakan rincian transparan pilihan paket gathering perusahaan (Hemat, Standard, Premium) yang siap cetak.</t>
  </si>
  <si>
    <t>Katalog paket outbound corporate gathering kami menyajikan transparansi fasilitas, durasi, dan rundown kegiatan secara rinci. Kami membantu proses audit dokumen pengadaan dengan melampirkan legalitas lengkap.</t>
  </si>
  <si>
    <t>Dapatkan file katalog resmi terupdate langsung ke email atau WhatsApp Anda di +62 82211221909.</t>
  </si>
  <si>
    <t>Apakah harga paket sudah termasuk pajak? Ya, kami bisa menerbitkan faktur pajak resmi untuk keperluan pertanggungjawaban korporasi.</t>
  </si>
  <si>
    <t>H-07</t>
  </si>
  <si>
    <t>Penerapan Experiential Learning: Metode Pembelajaran Interaktif untuk Efektivitas Outbound Karyawan</t>
  </si>
  <si>
    <t>penerapan-experiential-learning-outbound</t>
  </si>
  <si>
    <t>HR Manager &amp; L&amp;D Specialist</t>
  </si>
  <si>
    <t>Menjelaskan konsep ilmiah belajar lewat pengalaman langsung (Do-Reflect-Apply) di alam terbuka.</t>
  </si>
  <si>
    <t>Experiential learning adalah metode pembelajaran berbasis pengalaman nyata yang digunakan dalam program outbound team building. Peserta diajak melakukan aktivitas, merefleksikan maknanya, lalu menerapkannya dalam pekerjaan sehari-hari.</t>
  </si>
  <si>
    <t>Rancang program L&amp;D berbasis experiential learning yang sukses dengan menghubungi kami di +62 82211221909.</t>
  </si>
  <si>
    <t>Apakah metode experiential learning efektif untuk manajer senior? Sangat efektif karena menantang logika berpikir secara praktis.</t>
  </si>
  <si>
    <t>5 Kriteria Menentukan Lokasi Outbound yang Aman untuk Karyawan Wanita &amp; Hamil</t>
  </si>
  <si>
    <t>kriteria-menentukan-lokasi-outbound-aman</t>
  </si>
  <si>
    <t>Panitia Pelaksana Outbound Kantor</t>
  </si>
  <si>
    <t>Memastikan kenyamanan, akses toilet bersih, fasilitas berteduh, dan game yang ramah gender.</t>
  </si>
  <si>
    <t>Menentukan lokasi outbound harus ramah bagi semua kondisi peserta, termasuk karyawan wanita. Pastikan lapangan memiliki sanitasi bersih, area teduh yang memadai, dan jarak aman ke fasilitas medis terdekat.</t>
  </si>
  <si>
    <t>Butuh rekomendasi lokasi outbound terbaik dan ramah wanita di Batu &amp; Malang? Tanya admin kami di +62 82211221909.</t>
  </si>
  <si>
    <t>Apakah ibu hamil boleh ikut outbound? Ibu hamil disarankan hanya mengikuti sesi motivasi dalam ruangan (indoor) demi keamanan janin.</t>
  </si>
  <si>
    <t>Vendor Outbound dengan Sertifikasi Fasilitator BNSP Resmi</t>
  </si>
  <si>
    <t>vendor-outbound-sertifikasi-bnsp-resmi</t>
  </si>
  <si>
    <t>Direktur Utama &amp; HRD</t>
  </si>
  <si>
    <t>Menjual kompetensi tim trainer yang sudah tersertifikasi Badan Nasional Sertifikasi Profesi demi keamanan prima.</t>
  </si>
  <si>
    <t>Kami menjamin kualitas pelatihan outbound Anda dengan menyediakan tim fasilitator tersertifikasi BNSP (Badan Nasional Sertifikasi Profesi) resmi. Setiap pemandu memiliki keahlian manajemen risiko dan pertolongan pertama.</t>
  </si>
  <si>
    <t>Bekerjasamalah dengan vendor outbound berlisensi resmi. Chat WA kami di +62 82211221909.</t>
  </si>
  <si>
    <t>Mengapa sertifikasi BNSP itu penting bagi trainer outbound? Menjamin kompetensi instruktur dalam menyusun modul belajar dan menangani risiko di lapangan.</t>
  </si>
  <si>
    <t>H-08</t>
  </si>
  <si>
    <t>Mengapa Rekreasi Saja Tidak Cukup: Pentingnya Outbound Keluarga dalam Mempererat Hubungan (Bonding)</t>
  </si>
  <si>
    <t>outbound-keluarga-vs-rekreasi-biasa</t>
  </si>
  <si>
    <t>Orang Tua Modern &amp; Komunitas</t>
  </si>
  <si>
    <t>Mengupas gadget addiction di kalangan anak-anak dan perlunya game interaktif yang mewajibkan kolaborasi aktif fisik.</t>
  </si>
  <si>
    <t>Liburan biasa seringkali didominasi oleh penggunaan gadget masing-masing anggota keluarga. Program family gathering outbound menyatukan kembali komunikasi lewat games interaktif yang memerlukan kolaborasi fisik yang menyenangkan.</t>
  </si>
  <si>
    <t>Runtuhkan dinding gadget di antara Anda dan buah hati lewat games seru kami. Kontak kami di +62 82211221909.</t>
  </si>
  <si>
    <t>Bagaimana cara membuat anak tertarik ikut games keluarga? Melibatkan mereka dalam games kompetitif berhadiah menarik.</t>
  </si>
  <si>
    <t>Analisis Paket Hemat vs Paket Premium Family Gathering: Memilih Opsi Terbaik Sesuai Kebutuhan Keluarga</t>
  </si>
  <si>
    <t>analisis-paket-family-gathering-hemat-premium</t>
  </si>
  <si>
    <t>Ketua Paguyuban &amp; Arisan Keluarga</t>
  </si>
  <si>
    <t>Menelaah perbedaan fasilitas konsumsi, akomodasi, jenis permainan, serta merchandise kenang-kenangan.</t>
  </si>
  <si>
    <t>Memilih antara paket hemat dan premium untuk family gathering bergantung pada anggaran dan kenyamanan yang diinginkan. Paket hemat berfokus pada durasi program harian (1-day), sementara premium mencakup penginapan hotel berbintang dan konsumsi lengkap.</t>
  </si>
  <si>
    <t>Konsultasikan simulasi rincian biaya family gathering Anda sekarang gratis via WA +62 82211221909.</t>
  </si>
  <si>
    <t>Apakah paket premium sudah termasuk kaos seragam peserta? Ya, pada paket premium kami menyertakan merchandise kaos kustom sesuai ukuran.</t>
  </si>
  <si>
    <t>Jasa Outbound Reuni Keluarga Besar Berpengalaman (Harga Jujur Tanpa Markup)</t>
  </si>
  <si>
    <t>jasa-outbound-reuni-keluarga-besar-jujur</t>
  </si>
  <si>
    <t>Koordinator Keluarga Besar</t>
  </si>
  <si>
    <t>Prinsip transparansi Vendor Outbound: memberikan harga riil tempat/villa tanpa markup tersembunyi.</t>
  </si>
  <si>
    <t>Kami menawarkan jasa outbound reuni keluarga besar dengan komitmen transparansi biaya penuh. Tidak ada biaya siluman atau markup fiktif pada sewa lapangan dan konsumsi, semua disajikan sesuai invoice riil.</t>
  </si>
  <si>
    <t>Buktikan transparansi penawaran kami dengan meminta draf biaya di +62 82211221909.</t>
  </si>
  <si>
    <t>Apakah kami bisa membawa katering sendiri? Tentu bisa, kami sangat fleksibel menyesuaikan rencana acara Anda.</t>
  </si>
  <si>
    <t>H-09</t>
  </si>
  <si>
    <t>Pentingnya Manajemen Risiko (Risk Management) dalam Penyelenggaraan Outbound di Alam Terbuka</t>
  </si>
  <si>
    <t>pentingnya-manajemen-risiko-outbound-terbuka</t>
  </si>
  <si>
    <t>Traveler &amp; HRD Perusahaan</t>
  </si>
  <si>
    <t>Menyoroti kecelakaan fatal di sungai/gunung dan mengapa memilih provider yang taat K3 adalah hal mutlak.</t>
  </si>
  <si>
    <t>Melakukan aktivitas di alam bebas memiliki potensi bahaya tersendiri jika abai terhadap manajemen keselamatan. Pemilihan provider outbound plus rafting wajib didasarkan pada kepatuhan terhadap standar K3 dan ketersediaan asuransi resmi.</t>
  </si>
  <si>
    <t>Utamakan keselamatan tim kerja Anda. Pastikan berkoordinasi dengan kami di +62 82211221909.</t>
  </si>
  <si>
    <t>Apakah seluruh aktivitas luar ruang di Vendor Outbound dijamin asuransi? Ya, kami membekali setiap kegiatan ekstrem dengan asuransi kecelakaan.</t>
  </si>
  <si>
    <t>Tips Mempersiapkan Perlengkapan Pribadi untuk Outbound + Camping 2 Hari</t>
  </si>
  <si>
    <t>tips-mempersiapkan-perlengkapan-outbound-camping</t>
  </si>
  <si>
    <t>Pencinta Alam &amp; Karyawan</t>
  </si>
  <si>
    <t>Checklist lengkap tas ransel, obat pribadi, pakaian cadangan, dan alas kaki yang aman untuk kegiatan basah-basahan.</t>
  </si>
  <si>
    <t>Mempersiapkan perlengkapan pribadi yang tepat sangat menentukan kenyamanan Anda selama mengikuti outbound plus camping di alam terbuka. Wajib membawa pakaian ganti berbahan ringan, alas kaki antiselip, dan obat-obatan pribadi.</t>
  </si>
  <si>
    <t>Dapatkan lembar panduan perlengkapan peserta outbound kustom dari tim kami via WA +62 82211221909.</t>
  </si>
  <si>
    <t>Jenis sepatu apa yang paling disarankan untuk outbound? Sepatu olahraga bertali atau sandal gunung yang menutup jari kaki.</t>
  </si>
  <si>
    <t>Paket Outbound Camping &amp; Wisata Offroad: Solusi Refreshing Tim di Area Batu &amp; Pacet Mojokerto</t>
  </si>
  <si>
    <t>paket-outbound-camping-wisata-offroad-batu-mojokerto</t>
  </si>
  <si>
    <t>Komunitas Pecinta Alam &amp; Korporasi</t>
  </si>
  <si>
    <t>Kombinasi mendirikan tenda eksklusif, outbound games berperekat tim, dan petualangan mengendarai jeep offroad ekstrem.</t>
  </si>
  <si>
    <t>Nikmati paket outbound camping yang dipadukan dengan keseruan wisata offroad menjelajahi kawasan wisata alam Batu dan pegunungan Pacet Mojokerto. Pengalaman luar ruang unik yang menantang sekaligus mempererat persaudaraan tim Anda secara mendalam.</t>
  </si>
  <si>
    <t>Segera booking slot tanggal petualangan offroad &amp; camping Anda di nomor +62 82211221909.</t>
  </si>
  <si>
    <t>Di mana lokasi camping ground yang direkomendasikan? Area perkemahan eksklusif di Coban Rondo Batu atau Pacet Mojokerto yang memiliki akses toilet bersih dan pemandangan alam indah.</t>
  </si>
  <si>
    <t>H-10</t>
  </si>
  <si>
    <t>Peran Karakter &amp; Soft Skills dalam Kesiapan Memasuki Dunia Kerja bagi Lulusan Sekolah</t>
  </si>
  <si>
    <t>peran-karakter-soft-skills-kesiapan-kerja</t>
  </si>
  <si>
    <t>Mahasiswa &amp; Pelajar Tingkat Akhir</t>
  </si>
  <si>
    <t>Membahas pentingnya soft-skills seperti problem solving, adaptability, dan teamwork yang jarang diajarkan secara teori.</t>
  </si>
  <si>
    <t>Kebutuhan industri modern tidak lagi sebatas nilai akademis, melainkan karakter soft-skills yang kuat seperti adaptability dan teamwork. Kegiatan outbound pelajar menjadi sarana paling efektif mengasah kemampuan adaptasi sosial ini.</t>
  </si>
  <si>
    <t>Asah soft-skills siswa/mahasiswa Anda sejak dini. Kontak kami di +62 82211221909.</t>
  </si>
  <si>
    <t>Apakah soft-skills bisa benar-benar terbentuk hanya dari satu kali outbound? Outbound berfungsi sebagai pematik kesadaran diri (self-awareness) yang mempercepat proses pembentukan karakter jangka panjang.</t>
  </si>
  <si>
    <t>5 Manfaat Nyata Outbound Dibandingkan Seminar Motivasi Ruangan Bagi Siswa</t>
  </si>
  <si>
    <t>manfaat-outbound-vs-seminar-motivasi-siswa</t>
  </si>
  <si>
    <t>Kepala Sekolah &amp; Komite</t>
  </si>
  <si>
    <t>Mengapa siswa cenderung tidur di kelas saat seminar, namun sangat aktif dan ingat selamanya saat outbound.</t>
  </si>
  <si>
    <t>Metode experiential learning dalam outbound pelajar jauh lebih efektif dibanding seminar pasif di dalam ruangan. Siswa belajar memecahkan tantangan secara fisik dan emosional, sehingga memori pembelajaran bertahan lebih lama.</t>
  </si>
  <si>
    <t>Dapatkan proposal program outbound edukatif khusus institusi pendidikan Anda melalui WhatsApp di +62 82211221909.</t>
  </si>
  <si>
    <t>Dapatkah materi keagamaan atau nilai sekolah disisipkan dalam program outbound? Tentu bisa, kami merancang skenario game yang selaras dengan nilai-nilai internal sekolah.</t>
  </si>
  <si>
    <t>Jasa Fasilitator Outbound Edukasi Terpercaya untuk Sekolah &amp; Kampus</t>
  </si>
  <si>
    <t>jasa-fasilitator-outbound-edukasi-sekolah-kampus</t>
  </si>
  <si>
    <t>Dosen, Guru &amp; Panitia OSIS</t>
  </si>
  <si>
    <t>Menawarkan keahlian instruktur bersertifikasi BNSP dalam menyajikan simulasi yang ramah anak dan bermuatan akademis tinggi.</t>
  </si>
  <si>
    <t>Kami adalah penyedia jasa fasilitator outbound edukasi terpercaya yang berlisensi untuk merancang aktivitas outdoor edukatif bagi pelajar dan mahasiswa. Menjamin jalannya program yang aman, teratur, dan penuh pesan moral positif.</t>
  </si>
  <si>
    <t>Rencanakan petualangan edukatif terbaik sekolah Anda sekarang di +62 82211221909.</t>
  </si>
  <si>
    <t>Apakah kami bisa meminta pertemuan presentasi program terlebih dahulu? Tentu, tim kami siap berkunjung ke sekolah Anda untuk mempresentasikan skenario program.</t>
  </si>
  <si>
    <t>CROSS-PROMOTION &amp; SOCIAL MEDIA PLAN (GEO &amp; BRAND MENTIONS)</t>
  </si>
  <si>
    <t>Platform</t>
  </si>
  <si>
    <t>Target Segment</t>
  </si>
  <si>
    <t>Format Konten</t>
  </si>
  <si>
    <t>Hook / Headline Utama</t>
  </si>
  <si>
    <t>Isi Copywriting &amp; CTA</t>
  </si>
  <si>
    <t>Link Artikel Web Terkait</t>
  </si>
  <si>
    <t>Instagram</t>
  </si>
  <si>
    <t>HRD &amp; Panitia Kantor</t>
  </si>
  <si>
    <t>Carousel Image</t>
  </si>
  <si>
    <t>Bagaimana Fun Games Membantu Tim Teknis Menurunkan Stres &amp; Membangun Chemistry? 💻🤝</t>
  </si>
  <si>
    <t>Slide 1: Tantangan komunikasi tersulit saat rilis projek besar. Slide 2: Melalui fun games outbound yang interaktif, tim belajar menyatukan persepsi dengan santai. Hasilnya? Kejenuhan sirna, chemistry tim kembali prima! Ingin membangun kolaborasi tim Anda? Klik link di bio untuk konsultasi via WhatsApp resmi kami.</t>
  </si>
  <si>
    <t>https://venroroutbound.id/blog/game-outbound-kreatif-karyawan.html</t>
  </si>
  <si>
    <t>TikTok</t>
  </si>
  <si>
    <t>Generasi Muda &amp; Karyawan</t>
  </si>
  <si>
    <t>Short Video (Reels/TikTok)</t>
  </si>
  <si>
    <t>Ekspresi bos waktu kena siram air di game outbound! 🤫💦</t>
  </si>
  <si>
    <t>Tampilkan video transisi keseruan permainan outbound seru di rumput hijau. Tawa lepas karyawan mencairkan suasana kaku kantor. Di akhir tampilkan teks 'Powered by Vendor Outbound | WA +62 82211221909'. Gunakan sound trending.</t>
  </si>
  <si>
    <t>https://venroroutbound.id/blog/cara-menghilangkan-kejenuhan-karyawan-projek.html</t>
  </si>
  <si>
    <t>LinkedIn</t>
  </si>
  <si>
    <t>HR Manager, CEO &amp; Founder</t>
  </si>
  <si>
    <t>Text Post + Infographic</t>
  </si>
  <si>
    <t>Kenapa investasi $1,000 untuk team building bisa menyelamatkan omset perusahaan Anda?</t>
  </si>
  <si>
    <t>Membahas secara mendalam metode experiential learning yang membantu menyembuhkan silo antar divisi korporasi. Outbound team building bukan sekadar hura-hura, melainkan investasi budaya kerja berkinerja tinggi. Konsultasikan agenda L&amp;D Anda melalui WhatsApp kami di +62 82211221909.</t>
  </si>
  <si>
    <t>https://venroroutbound.id/blog/kesalahan-team-building-kantor.html</t>
  </si>
  <si>
    <t>Ibu &amp; Panitia Arisan Keluarga</t>
  </si>
  <si>
    <t>Single Photo + Caption</t>
  </si>
  <si>
    <t>Kumpul keluarga besar tapi pada sibuk main HP? Sembuhkan di sini!</t>
  </si>
  <si>
    <t>Tampilkan foto canda tawa kakek-nenek hingga cucu di arena outbound standard family gathering. Caption hangat tentang indahnya kebersamaan tanpa sekat gadget. Tanya detail paket hemat/premium reuni keluarga Anda via WA +62 82211221909.</t>
  </si>
  <si>
    <t>https://venroroutbound.id/blog/tips-family-gathering-berkesan.html</t>
  </si>
  <si>
    <t>Siswa &amp; Pengurus OSIS</t>
  </si>
  <si>
    <t>POV Video</t>
  </si>
  <si>
    <t>POV: Lu ikut outbound sekolah tapi trainernya asyik banget dan gak garing! 🙌✨</t>
  </si>
  <si>
    <t>Video POV siswa menjalani tantangan character building yang dikemas seru. Menunjukkan bahwa melatih disiplin dan kemandirian tidak harus dengan bentakan militer, melainkan edukasi outdoor yang empatik. Info paket di WA +62 82211221909.</t>
  </si>
  <si>
    <t>https://venroroutbound.id/blog/manfaat-edukasi-outdoor-pelajar.html</t>
  </si>
  <si>
    <t>PDF Document (Slide Deck)</t>
  </si>
  <si>
    <t>Rundown ideal outbound sekolah 2 Hari 1 Malam demi keamanan &amp; kenyamanan maksimal.</t>
  </si>
  <si>
    <t>Slide 1: Mengapa durasi 2D1N sangat ideal melatih kepemimpinan siswa? Slide 2: Draf rundown taktis per jam. Slide 3: Kiat pencegahan cedera di lapangan. Kami menyusun program outbound karakter sekolah yang mengedepankan aspek K3 secara ketat. Chat WA +62 82211221909.</t>
  </si>
  <si>
    <t>https://venroroutbound.id/blog/rundown-outbound-sekolah-2-hari-1-malam.html</t>
  </si>
  <si>
    <t>INTERNAL LINKING ARCHITECTURE MAP (Section 16 - Anchor Text Deskriptif)</t>
  </si>
  <si>
    <t>Source URL (Halaman Asal)</t>
  </si>
  <si>
    <t>Destination URL (Halaman Tujuan)</t>
  </si>
  <si>
    <t>Anchor Text yang Digunakan</t>
  </si>
  <si>
    <t>Tipe Link</t>
  </si>
  <si>
    <t>Konteks Penempatan</t>
  </si>
  <si>
    <t>Rekomendasi Tambahan</t>
  </si>
  <si>
    <t>/blog/game-outbound-kreatif-karyawan.html</t>
  </si>
  <si>
    <t>Artikel ➔ Halaman Layanan Detail</t>
  </si>
  <si>
    <t>Dipasang pada paragraf pembuka yang mengulas pentingnya games pencair suasana.</t>
  </si>
  <si>
    <t>Wajib ada link langsung ke WhatsApp</t>
  </si>
  <si>
    <t>Artikel ➔ Homepage</t>
  </si>
  <si>
    <t>Dipasang pada bagian profil singkat provider untuk memperkuat entity authority.</t>
  </si>
  <si>
    <t>Gunakan nama brand yang konsisten</t>
  </si>
  <si>
    <t>/blog/kesalahan-team-building-kantor.html</t>
  </si>
  <si>
    <t>Dipasang pada analisis kegagalan program L&amp;D yang kurang taktis.</t>
  </si>
  <si>
    <t>Pastikan anchor text natural</t>
  </si>
  <si>
    <t>/blog/manfaat-edukasi-outdoor-pelajar.html</t>
  </si>
  <si>
    <t>Dipasang pada paparan metodologi pembentukan karakter luar kelas.</t>
  </si>
  <si>
    <t>Berikan visual brief gambar pendukung</t>
  </si>
  <si>
    <t>/blog/rundown-outbound-sekolah-2-hari-1-malam.html</t>
  </si>
  <si>
    <t>rundown outbound sekolah 2 Hari 1 Malam</t>
  </si>
  <si>
    <t>Artikel ➔ Artikel Sejenis</t>
  </si>
  <si>
    <t>Dipasang pada bagian akhir sebagai saran baca lanjutan yang relevan.</t>
  </si>
  <si>
    <t>Bagus untuk meningkatkan dwell time</t>
  </si>
  <si>
    <t>/paket/outbound-perusahaan.html</t>
  </si>
  <si>
    <t>program team building perusahaan</t>
  </si>
  <si>
    <t>Kategori Hub ➔ Detail Paket</t>
  </si>
  <si>
    <t>Dipasang pada kartu katalog program utama korporasi.</t>
  </si>
  <si>
    <t>Gunakan tombol visual yang jelas</t>
  </si>
  <si>
    <t>outbound fun games santai</t>
  </si>
  <si>
    <t>Dipasang pada penjelasan opsi alternatif program rekreasi.</t>
  </si>
  <si>
    <t>Bandingkan benefit kedua paket</t>
  </si>
  <si>
    <t>katalog paket outbound lengkap</t>
  </si>
  <si>
    <t>Homepage ➔ Paket Hub</t>
  </si>
  <si>
    <t>Dipasang pada section katalog penawaran utama di halaman depan.</t>
  </si>
  <si>
    <t>Posisikan di atas lipatan layar (above the fold)</t>
  </si>
  <si>
    <t>TEMPLATE BRIEF KONTEN WEB (Standar Penulisan People-First 2026)</t>
  </si>
  <si>
    <t>Nama Penulis / Editor</t>
  </si>
  <si>
    <t>[Tulis Nama Editor]</t>
  </si>
  <si>
    <t>Tanggal Terbit Target</t>
  </si>
  <si>
    <t>[Tulis Tanggal Terbit]</t>
  </si>
  <si>
    <t>Keyword Utama (Primary)</t>
  </si>
  <si>
    <t>[Masukkan 1 Keyword Utama]</t>
  </si>
  <si>
    <t>Keyword Pendukung (Secondary)</t>
  </si>
  <si>
    <t>[Masukkan 2-3 Keyword Pendukung]</t>
  </si>
  <si>
    <t>Informational / Commercial / Transactional / Navigational</t>
  </si>
  <si>
    <t>Target Audiens Utama</t>
  </si>
  <si>
    <t>[Sebutkan Segmen: misal HRD Korporat]</t>
  </si>
  <si>
    <t>Kebutuhan AEO (Answer-First)</t>
  </si>
  <si>
    <t>Wajib menuliskan ringkasan 40-80 kata tepat di bawah heading H1 utama yang menjawab inti pencarian.</t>
  </si>
  <si>
    <t>Kebutuhan GEO (Generative)</t>
  </si>
  <si>
    <t>Wajib menyertakan data faktual, no fake claims, mencantumkan author profile, dan link sumber tepercaya.</t>
  </si>
  <si>
    <t>Struktur Heading Standard</t>
  </si>
  <si>
    <t>H1 -&gt; Jawaban Langsung (AEO) -&gt; Penjelasan Teoritis/Praktis (H2) -&gt; Studi Kasus/Simulasi Game (H3) -&gt; Tabel/Daftar Spesifikasi (AEO) -&gt; FAQ -&gt; CTA WhatsApp</t>
  </si>
  <si>
    <t>Fokus Visual / Gambar</t>
  </si>
  <si>
    <t>Sediakan 1 gambar utama dengan ALT tag deskriptif-faktual, format WebP, tanpa keyword stuffing.</t>
  </si>
  <si>
    <t>Internal Link Keluar</t>
  </si>
  <si>
    <t>Minimal 2 link ke Halaman Paket/Layanan + 2 link ke Artikel Terkait.</t>
  </si>
  <si>
    <t>Call to Action Utama</t>
  </si>
  <si>
    <t>Wajib menyertakan tombol hubungi WhatsApp +62 82211221909 dengan pesan pembuka yang natural.</t>
  </si>
  <si>
    <t>Ketentuan Tambahan</t>
  </si>
  <si>
    <t>Gunakan bahasa Indonesia yang profesional namun asyik. Hindari klaim superlatif (seperti nomor 1, terbaik, paling murah) tanpa pembuktian data resmi.</t>
  </si>
  <si>
    <t>Definition of Done (DoD)</t>
  </si>
  <si>
    <t>Lolos audit keterbacaan manusia, siap dirayapi Google Search, terbebas dari tulisan AI massal yang kering.</t>
  </si>
  <si>
    <t>CONTOH SKEMA PENERAPAN KODE KONTEN (DOKUMENTASI COMMENT HTML - Section 23)</t>
  </si>
  <si>
    <t>&lt;!-- ================= SEO / META CONFIGURATION ================= --&gt;</t>
  </si>
  <si>
    <t>Diletakkan pada tag &lt;head&gt; untuk membungkus Title, Description, dan Canonical.</t>
  </si>
  <si>
    <t>&lt;!-- ================= STRUCTURED DATA (JSON-LD) ================= --&gt;</t>
  </si>
  <si>
    <t>Membungkus script schema.org seperti Article, BlogPosting, atau FAQPage.</t>
  </si>
  <si>
    <t>&lt;!-- ================= AEO (ANSWER ENGINE OPTIMIZATION) ANSWER-FIRST BLOCK ================= --&gt;</t>
  </si>
  <si>
    <t>Diletakkan tepat di bawah H1 untuk menandai blok rangkuman jawaban langsung.</t>
  </si>
  <si>
    <t>&lt;!-- ================= GEO (GENERATIVE ENGINE OPTIMIZATION) ENTITY &amp; CONTEXT ================= --&gt;</t>
  </si>
  <si>
    <t>Membungkus identitas entitas bisnis tepercaya, link WA resmi, dan profil author.</t>
  </si>
  <si>
    <t>SOP PENULISAN DAN DRAFT KONTEN BRIEFS UNGGULAN</t>
  </si>
  <si>
    <t>SOP VALIDASI KUALITAS ARTIKEL SEBELUM PUBLISH (DoD)</t>
  </si>
  <si>
    <t>Langkah 1</t>
  </si>
  <si>
    <t>Pengecekan Jawaban Langsung (AEO)</t>
  </si>
  <si>
    <t>Pastikan artikel memiliki paragraf rangkuman 40-80 kata tepat di bawah heading H1 yang menjawab pertanyaan utama pencari.</t>
  </si>
  <si>
    <t>Wajib</t>
  </si>
  <si>
    <t>Langkah 2</t>
  </si>
  <si>
    <t>Pengecekan Kredibilitas (GEO &amp; EEAT)</t>
  </si>
  <si>
    <t>Cantumkan nama penulis (author) yang memiliki keahlian outbound, tanggal terbit, dan asuransi medis kegiatan jika membahas games fisik.</t>
  </si>
  <si>
    <t>Langkah 3</t>
  </si>
  <si>
    <t>Verifikasi Klaim &amp; Data (Anti-Hoax)</t>
  </si>
  <si>
    <t>Jangan pernah mencantumkan klaim fiktif seperti 'Nomor 1 di Indonesia' atau 'Harga termurah'. Tulis deskripsi manfaat yang faktual.</t>
  </si>
  <si>
    <t>Sangat Wajib</t>
  </si>
  <si>
    <t>Langkah 4</t>
  </si>
  <si>
    <t>Penyusunan Kode Schema</t>
  </si>
  <si>
    <t>Buat kode JSON-LD schema (BlogPosting, FAQPage, atau BreadcrumbList) yang valid dan sesuai dengan isi artikel sesungguhnya.</t>
  </si>
  <si>
    <t>Langkah 5</t>
  </si>
  <si>
    <t>Integrasi Link Internal</t>
  </si>
  <si>
    <t>Minimal terdapat 2 internal link ke halaman paket Vendor Outbound dan 2 link ke artikel relevan lainnya.</t>
  </si>
  <si>
    <t>Langkah 6</t>
  </si>
  <si>
    <t>Optimasi Gambar Pendukung</t>
  </si>
  <si>
    <t>Gunakan gambar berformat WebP dengan nama file deskriptif-faktual serta atribut alt tag yang jujur tanpa keyword stuffing.</t>
  </si>
  <si>
    <t>DRAFT BRIEF KONTEN UNGGULAN VENDOR OUTBOUND</t>
  </si>
  <si>
    <t>ID Brief</t>
  </si>
  <si>
    <t>Target Halaman</t>
  </si>
  <si>
    <t>Rencana Outline Konten</t>
  </si>
  <si>
    <t>Contoh Pertanyaan FAQ</t>
  </si>
  <si>
    <t>CTA WA &amp; Form Pembuka</t>
  </si>
  <si>
    <t>BF-01</t>
  </si>
  <si>
    <t>HRD Perusahaan Kreatif</t>
  </si>
  <si>
    <t>H1: 5 Permainan Outbound Seru &amp; Kreatif
- H2: Kenapa Perlu Fun Games di Kantor?
- H2: Daftar 5 Game Terkreatif (Ranjau Balon, Estafet Air, dll)
- H2: Cara Memilih Lokasi Outbound Karyawan
- H2: Kesimpulan &amp; Hubungi Kami</t>
  </si>
  <si>
    <t>Q: Apa perlengkapan yang perlu dibawa peserta?
A: Cukup kaos ganti, sepatu olahraga, dan botol minum pribadi.</t>
  </si>
  <si>
    <t>Halo Vendor Outbound, saya mau konsultasi program fun games seru untuk 50 karyawan kantor kami.</t>
  </si>
  <si>
    <t>BF-02</t>
  </si>
  <si>
    <t>Kepala Sekolah &amp; Guru</t>
  </si>
  <si>
    <t>H1: Manfaat Penting Outbound Anak Sekolah
- H2: Mengapa Belajar di Kelas Saja Tidak Cukup?
- H2: Pembentukan Karakter Siswa via Edukasi Outdoor
- H2: 3 Contoh Simulasi Game Kemandirian Pelajar
- H2: SOP Keselamatan Fasilitator Vendor Outbound</t>
  </si>
  <si>
    <t>Q: Berapa batas minimum usia peserta sekolah?
A: Program kami tersedia untuk anak usia sekolah dasar (SD) kelas 1 hingga SMA.</t>
  </si>
  <si>
    <t>Halo Vendor Outbound, mohon proposal penawaran paket outbound edukatif anak sekolah untuk 100 siswa.</t>
  </si>
  <si>
    <t>BF-03</t>
  </si>
  <si>
    <t>HR Manager &amp; Direktur</t>
  </si>
  <si>
    <t>H1: Menghindari Kegagalan Outbound Team Building Perusahaan
- H2: 3 Penyebab Utama Outbound Kantor Berakhir Garing
- H2: Bagaimana Melakukan Analisis Kebutuhan Tim Kerja?
- H2: Peran Fasilitator Tersertifikasi BNSP
- H2: Solusi Kustomisasi Program Bersama Kami</t>
  </si>
  <si>
    <t>Q: Apakah program bisa diselaraskan dengan visi misi perusahaan?
A: Tentu, skenario simulasi game kami kustomisasi penuh sesuai corporate core values Anda.</t>
  </si>
  <si>
    <t>Halo Vendor Outbound, kami tertarik membuat program outbound team building kustom yang selaras dengan nilai kerja tim kami.</t>
  </si>
  <si>
    <t>DATABASE MASTER DATA KEYWORDS - CLUSTER STRATEGY 2026</t>
  </si>
  <si>
    <t>Cluster Topik</t>
  </si>
  <si>
    <t>Target Keyword Utama</t>
  </si>
  <si>
    <t>Volume Pencarian (Est/Bulan)</t>
  </si>
  <si>
    <t>Difficulty Score (0-100)</t>
  </si>
  <si>
    <t>Rekomendasi Penempatan Halaman</t>
  </si>
  <si>
    <t>A. Outbound Perusahaan</t>
  </si>
  <si>
    <t>corporate gathering</t>
  </si>
  <si>
    <t>B. Outbound Sekolah</t>
  </si>
  <si>
    <t>C. Family Gathering</t>
  </si>
  <si>
    <t>D. Outbound Wisata</t>
  </si>
  <si>
    <t>outbound offroad batu malang</t>
  </si>
  <si>
    <t>/paket/outbound-wisata/outbound-offroad.html</t>
  </si>
  <si>
    <t>11</t>
  </si>
  <si>
    <t>E. Panduan Outbound</t>
  </si>
  <si>
    <t>pengertian outbound</t>
  </si>
  <si>
    <t>12</t>
  </si>
  <si>
    <t>manfaat outbound</t>
  </si>
  <si>
    <t>13</t>
  </si>
  <si>
    <t>cara memilih vendor outbound</t>
  </si>
  <si>
    <t>Informational / Commercial</t>
  </si>
  <si>
    <t>Rata-rata /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</si>
</sst>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6"/>
      <color rgb="FFFFFFFF"/>
      <name val="Calibri"/>
    </font>
    <font>
      <b/>
      <sz val="11"/>
      <name val="Calibri"/>
    </font>
    <font>
      <sz val="11"/>
      <name val="Calibri"/>
    </font>
    <font>
      <b/>
      <sz val="12"/>
      <color rgb="FFFFFFFF"/>
      <name val="Calibri"/>
    </font>
    <font>
      <b/>
      <sz val="11"/>
      <color rgb="FFFFFFFF"/>
      <name val="Calibri"/>
    </font>
    <font>
      <i/>
      <sz val="9"/>
      <name val="Calibri"/>
    </font>
    <font>
      <i/>
      <sz val="11"/>
      <name val="Calibri"/>
    </font>
  </fonts>
  <fills count="11">
    <fill>
      <patternFill patternType="none"/>
    </fill>
    <fill>
      <patternFill patternType="gray125"/>
    </fill>
    <fill>
      <patternFill patternType="solid">
        <fgColor rgb="FF1B365D"/>
        <bgColor rgb="FF1B365D"/>
      </patternFill>
    </fill>
    <fill>
      <patternFill patternType="solid">
        <fgColor rgb="FFDCE6F1"/>
        <bgColor rgb="FFDCE6F1"/>
      </patternFill>
    </fill>
    <fill>
      <patternFill patternType="solid">
        <fgColor rgb="FF2E5B9A"/>
        <bgColor rgb="FF2E5B9A"/>
      </patternFill>
    </fill>
    <fill>
      <patternFill patternType="solid">
        <fgColor rgb="FFE2EFDA"/>
        <bgColor rgb="FFE2EFDA"/>
      </patternFill>
    </fill>
    <fill>
      <patternFill patternType="solid">
        <fgColor rgb="FFFFF2CC"/>
        <bgColor rgb="FFFFF2CC"/>
      </patternFill>
    </fill>
    <fill>
      <patternFill patternType="solid">
        <fgColor rgb="FFF2FFF2"/>
        <bgColor rgb="FFF2FFF2"/>
      </patternFill>
    </fill>
    <fill>
      <patternFill patternType="solid">
        <fgColor rgb="FFF9FAFC"/>
        <bgColor rgb="FFF9FAFC"/>
      </patternFill>
    </fill>
    <fill>
      <patternFill patternType="solid">
        <fgColor rgb="FFF2F2F2"/>
        <bgColor rgb="FFF2F2F2"/>
      </patternFill>
    </fill>
    <fill>
      <patternFill patternType="solid">
        <fgColor rgb="FFEAEAEA"/>
        <bgColor rgb="FFEAEAEA"/>
      </patternFill>
    </fill>
  </fills>
  <borders count="6">
    <border>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top/>
      <bottom style="medium">
        <color rgb="FF1B365D"/>
      </bottom>
      <diagonal/>
    </border>
    <border>
      <left/>
      <right/>
      <top style="thin">
        <color rgb="FF1B365D"/>
      </top>
      <bottom style="double">
        <color rgb="FF1B365D"/>
      </bottom>
      <diagonal/>
    </border>
  </borders>
  <cellStyleXfs count="1">
    <xf numFmtId="0" fontId="0" fillId="0" borderId="0"/>
  </cellStyleXfs>
  <cellXfs count="58">
    <xf numFmtId="0" fontId="0" fillId="0" borderId="0" xfId="0"/>
    <xf numFmtId="0" fontId="2" fillId="0" borderId="0" xfId="0" applyFont="1"/>
    <xf numFmtId="0" fontId="5" fillId="2" borderId="0" xfId="0" applyFont="1" applyFill="1" applyAlignment="1">
      <alignment horizontal="center" vertical="center" wrapText="1"/>
    </xf>
    <xf numFmtId="0" fontId="2" fillId="0" borderId="1" xfId="0" applyFont="1" applyBorder="1"/>
    <xf numFmtId="0" fontId="3" fillId="0" borderId="1" xfId="0" applyFont="1" applyBorder="1"/>
    <xf numFmtId="0" fontId="2"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0" borderId="0" xfId="0" applyFont="1"/>
    <xf numFmtId="0" fontId="5" fillId="4" borderId="4" xfId="0" applyFont="1" applyFill="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3" fontId="2" fillId="5"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10" borderId="5" xfId="0" applyFont="1" applyFill="1" applyBorder="1" applyAlignment="1">
      <alignment horizontal="center" vertical="center" wrapText="1"/>
    </xf>
    <xf numFmtId="0" fontId="0" fillId="10" borderId="5" xfId="0" applyFill="1" applyBorder="1"/>
    <xf numFmtId="3" fontId="2" fillId="5" borderId="5" xfId="0" applyNumberFormat="1" applyFont="1" applyFill="1" applyBorder="1" applyAlignment="1">
      <alignment horizontal="center" vertical="center" wrapText="1"/>
    </xf>
    <xf numFmtId="164" fontId="2" fillId="5" borderId="5"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3" fillId="0" borderId="0" xfId="0" applyFont="1"/>
    <xf numFmtId="0" fontId="3" fillId="0" borderId="1" xfId="0" applyFont="1" applyBorder="1"/>
    <xf numFmtId="0" fontId="0" fillId="0" borderId="2" xfId="0" applyBorder="1"/>
    <xf numFmtId="0" fontId="0" fillId="0" borderId="3" xfId="0" applyBorder="1"/>
    <xf numFmtId="0" fontId="3" fillId="3" borderId="0" xfId="0" applyFont="1" applyFill="1"/>
    <xf numFmtId="0" fontId="2" fillId="0" borderId="0" xfId="0" applyFont="1"/>
    <xf numFmtId="0" fontId="4" fillId="4" borderId="0" xfId="0" applyFont="1" applyFill="1" applyAlignment="1">
      <alignment horizontal="left" vertical="center" wrapText="1"/>
    </xf>
    <xf numFmtId="0" fontId="4" fillId="2" borderId="0" xfId="0" applyFont="1" applyFill="1" applyAlignment="1">
      <alignment horizontal="left" vertical="center" wrapText="1"/>
    </xf>
    <xf numFmtId="0" fontId="3" fillId="0" borderId="1" xfId="0" applyFont="1" applyBorder="1" applyAlignment="1">
      <alignment horizontal="left" vertical="center" wrapText="1"/>
    </xf>
    <xf numFmtId="0" fontId="7" fillId="9" borderId="1" xfId="0" applyFont="1" applyFill="1" applyBorder="1" applyAlignment="1">
      <alignment horizontal="left" vertical="center" wrapText="1"/>
    </xf>
    <xf numFmtId="0" fontId="2" fillId="4" borderId="0" xfId="0" applyFont="1" applyFill="1" applyAlignment="1">
      <alignment horizontal="left" vertical="center" wrapText="1"/>
    </xf>
    <xf numFmtId="0" fontId="2" fillId="4" borderId="0" xfId="0" applyFont="1" applyFill="1"/>
    <xf numFmtId="0" fontId="0" fillId="0" borderId="0" xfId="0"/>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showGridLines="0" workbookViewId="0">
      <pane ySplit="2" topLeftCell="A3" activePane="bottomLeft" state="frozen"/>
      <selection pane="bottomLeft"/>
    </sheetView>
  </sheetViews>
  <sheetFormatPr defaultRowHeight="14.5" x14ac:dyDescent="0.35"/>
  <cols>
    <col min="1" max="1" width="50" customWidth="1"/>
    <col min="2" max="2" width="30" customWidth="1"/>
    <col min="3" max="3" width="20" customWidth="1"/>
    <col min="4" max="4" width="25" customWidth="1"/>
    <col min="5" max="5" width="12" customWidth="1"/>
  </cols>
  <sheetData>
    <row r="1" spans="1:5" ht="25" customHeight="1" x14ac:dyDescent="0.35">
      <c r="A1" s="34" t="s">
        <v>0</v>
      </c>
      <c r="B1" s="35"/>
      <c r="C1" s="35"/>
      <c r="D1" s="35"/>
      <c r="E1" s="35"/>
    </row>
    <row r="2" spans="1:5" ht="25" customHeight="1" x14ac:dyDescent="0.35">
      <c r="A2" s="35"/>
      <c r="B2" s="35"/>
      <c r="C2" s="35"/>
      <c r="D2" s="35"/>
      <c r="E2" s="35"/>
    </row>
    <row r="4" spans="1:5" x14ac:dyDescent="0.35">
      <c r="A4" s="1" t="s">
        <v>1</v>
      </c>
    </row>
    <row r="5" spans="1:5" x14ac:dyDescent="0.35">
      <c r="A5" s="1" t="s">
        <v>2</v>
      </c>
      <c r="B5" s="36" t="s">
        <v>3</v>
      </c>
      <c r="C5" s="35"/>
      <c r="D5" s="35"/>
      <c r="E5" s="35"/>
    </row>
    <row r="6" spans="1:5" x14ac:dyDescent="0.35">
      <c r="A6" s="1" t="s">
        <v>4</v>
      </c>
      <c r="B6" s="40" t="s">
        <v>5</v>
      </c>
      <c r="C6" s="35"/>
      <c r="D6" s="35"/>
      <c r="E6" s="35"/>
    </row>
    <row r="7" spans="1:5" x14ac:dyDescent="0.35">
      <c r="A7" s="1" t="s">
        <v>6</v>
      </c>
      <c r="B7" s="40" t="s">
        <v>7</v>
      </c>
      <c r="C7" s="35"/>
      <c r="D7" s="35"/>
      <c r="E7" s="35"/>
    </row>
    <row r="8" spans="1:5" x14ac:dyDescent="0.35">
      <c r="A8" s="1" t="s">
        <v>8</v>
      </c>
      <c r="B8" s="36" t="s">
        <v>9</v>
      </c>
      <c r="C8" s="35"/>
      <c r="D8" s="35"/>
      <c r="E8" s="35"/>
    </row>
    <row r="9" spans="1:5" x14ac:dyDescent="0.35">
      <c r="A9" s="1" t="s">
        <v>10</v>
      </c>
      <c r="B9" s="36" t="s">
        <v>11</v>
      </c>
      <c r="C9" s="35"/>
      <c r="D9" s="35"/>
      <c r="E9" s="35"/>
    </row>
    <row r="11" spans="1:5" ht="22" customHeight="1" x14ac:dyDescent="0.35">
      <c r="A11" s="42" t="s">
        <v>12</v>
      </c>
      <c r="B11" s="35"/>
      <c r="C11" s="35"/>
      <c r="D11" s="35"/>
      <c r="E11" s="35"/>
    </row>
    <row r="12" spans="1:5" x14ac:dyDescent="0.35">
      <c r="A12" s="2" t="s">
        <v>13</v>
      </c>
      <c r="B12" s="2" t="s">
        <v>14</v>
      </c>
      <c r="C12" s="2" t="s">
        <v>15</v>
      </c>
      <c r="D12" s="2" t="s">
        <v>16</v>
      </c>
      <c r="E12" s="2" t="s">
        <v>17</v>
      </c>
    </row>
    <row r="13" spans="1:5" ht="20" customHeight="1" x14ac:dyDescent="0.35">
      <c r="A13" s="3" t="s">
        <v>18</v>
      </c>
      <c r="B13" s="4" t="s">
        <v>19</v>
      </c>
      <c r="C13" s="5" t="str">
        <f>HYPERLINK("#'TOC &amp; Dashboard'!A1", "Buka Sheet ➔")</f>
        <v>Buka Sheet ➔</v>
      </c>
      <c r="D13" s="4" t="s">
        <v>20</v>
      </c>
      <c r="E13" s="6" t="s">
        <v>21</v>
      </c>
    </row>
    <row r="14" spans="1:5" ht="20" customHeight="1" x14ac:dyDescent="0.35">
      <c r="A14" s="3" t="s">
        <v>22</v>
      </c>
      <c r="B14" s="4" t="s">
        <v>23</v>
      </c>
      <c r="C14" s="5" t="str">
        <f>HYPERLINK("#'Keyword Mapping'!A1", "Buka Sheet ➔")</f>
        <v>Buka Sheet ➔</v>
      </c>
      <c r="D14" s="4" t="s">
        <v>24</v>
      </c>
      <c r="E14" s="6" t="s">
        <v>21</v>
      </c>
    </row>
    <row r="15" spans="1:5" ht="20" customHeight="1" x14ac:dyDescent="0.35">
      <c r="A15" s="3" t="s">
        <v>25</v>
      </c>
      <c r="B15" s="4" t="s">
        <v>26</v>
      </c>
      <c r="C15" s="5" t="str">
        <f>HYPERLINK("#'30-day Blog Calendar'!A1", "Buka Sheet ➔")</f>
        <v>Buka Sheet ➔</v>
      </c>
      <c r="D15" s="4" t="s">
        <v>27</v>
      </c>
      <c r="E15" s="6" t="s">
        <v>21</v>
      </c>
    </row>
    <row r="16" spans="1:5" ht="20" customHeight="1" x14ac:dyDescent="0.35">
      <c r="A16" s="3" t="s">
        <v>28</v>
      </c>
      <c r="B16" s="4" t="s">
        <v>29</v>
      </c>
      <c r="C16" s="5" t="str">
        <f>HYPERLINK("#'Social Media Plan'!A1", "Buka Sheet ➔")</f>
        <v>Buka Sheet ➔</v>
      </c>
      <c r="D16" s="4" t="s">
        <v>30</v>
      </c>
      <c r="E16" s="6" t="s">
        <v>21</v>
      </c>
    </row>
    <row r="17" spans="1:5" ht="20" customHeight="1" x14ac:dyDescent="0.35">
      <c r="A17" s="3" t="s">
        <v>31</v>
      </c>
      <c r="B17" s="4" t="s">
        <v>32</v>
      </c>
      <c r="C17" s="5" t="str">
        <f>HYPERLINK("#'Internal Linking'!A1", "Buka Sheet ➔")</f>
        <v>Buka Sheet ➔</v>
      </c>
      <c r="D17" s="4" t="s">
        <v>33</v>
      </c>
      <c r="E17" s="6" t="s">
        <v>21</v>
      </c>
    </row>
    <row r="18" spans="1:5" ht="20" customHeight="1" x14ac:dyDescent="0.35">
      <c r="A18" s="3" t="s">
        <v>34</v>
      </c>
      <c r="B18" s="4" t="s">
        <v>35</v>
      </c>
      <c r="C18" s="5" t="str">
        <f>HYPERLINK("#'Template Brief Konten'!A1", "Buka Sheet ➔")</f>
        <v>Buka Sheet ➔</v>
      </c>
      <c r="D18" s="4" t="s">
        <v>36</v>
      </c>
      <c r="E18" s="6" t="s">
        <v>21</v>
      </c>
    </row>
    <row r="19" spans="1:5" ht="20" customHeight="1" x14ac:dyDescent="0.35">
      <c r="A19" s="3" t="s">
        <v>37</v>
      </c>
      <c r="B19" s="4" t="s">
        <v>38</v>
      </c>
      <c r="C19" s="5" t="str">
        <f>HYPERLINK("#'SOP &amp; Konten Briefs'!A1", "Buka Sheet ➔")</f>
        <v>Buka Sheet ➔</v>
      </c>
      <c r="D19" s="4" t="s">
        <v>39</v>
      </c>
      <c r="E19" s="6" t="s">
        <v>21</v>
      </c>
    </row>
    <row r="20" spans="1:5" ht="20" customHeight="1" x14ac:dyDescent="0.35">
      <c r="A20" s="3" t="s">
        <v>40</v>
      </c>
      <c r="B20" s="4" t="s">
        <v>41</v>
      </c>
      <c r="C20" s="5" t="str">
        <f>HYPERLINK("#'Master Data Keywords'!A1", "Buka Sheet ➔")</f>
        <v>Buka Sheet ➔</v>
      </c>
      <c r="D20" s="4" t="s">
        <v>42</v>
      </c>
      <c r="E20" s="6" t="s">
        <v>21</v>
      </c>
    </row>
    <row r="22" spans="1:5" x14ac:dyDescent="0.35">
      <c r="A22" s="41" t="s">
        <v>43</v>
      </c>
      <c r="B22" s="35"/>
      <c r="C22" s="35"/>
    </row>
    <row r="23" spans="1:5" ht="18" customHeight="1" x14ac:dyDescent="0.35">
      <c r="A23" s="7" t="s">
        <v>44</v>
      </c>
      <c r="B23" s="37" t="s">
        <v>45</v>
      </c>
      <c r="C23" s="38"/>
      <c r="D23" s="38"/>
      <c r="E23" s="39"/>
    </row>
    <row r="24" spans="1:5" ht="18" customHeight="1" x14ac:dyDescent="0.35">
      <c r="A24" s="8" t="s">
        <v>46</v>
      </c>
      <c r="B24" s="37" t="s">
        <v>47</v>
      </c>
      <c r="C24" s="38"/>
      <c r="D24" s="38"/>
      <c r="E24" s="39"/>
    </row>
    <row r="25" spans="1:5" ht="18" customHeight="1" x14ac:dyDescent="0.35">
      <c r="A25" s="9" t="s">
        <v>48</v>
      </c>
      <c r="B25" s="37" t="s">
        <v>49</v>
      </c>
      <c r="C25" s="38"/>
      <c r="D25" s="38"/>
      <c r="E25" s="39"/>
    </row>
    <row r="26" spans="1:5" ht="18" customHeight="1" x14ac:dyDescent="0.35">
      <c r="A26" s="5" t="s">
        <v>50</v>
      </c>
      <c r="B26" s="37" t="s">
        <v>51</v>
      </c>
      <c r="C26" s="38"/>
      <c r="D26" s="38"/>
      <c r="E26" s="39"/>
    </row>
    <row r="28" spans="1:5" x14ac:dyDescent="0.35">
      <c r="A28" s="10" t="s">
        <v>52</v>
      </c>
    </row>
  </sheetData>
  <mergeCells count="12">
    <mergeCell ref="A1:E2"/>
    <mergeCell ref="B5:E5"/>
    <mergeCell ref="B24:E24"/>
    <mergeCell ref="B26:E26"/>
    <mergeCell ref="B9:E9"/>
    <mergeCell ref="B23:E23"/>
    <mergeCell ref="B8:E8"/>
    <mergeCell ref="B6:E6"/>
    <mergeCell ref="A22:C22"/>
    <mergeCell ref="A11:E11"/>
    <mergeCell ref="B7:E7"/>
    <mergeCell ref="B25:E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showGridLines="0" workbookViewId="0">
      <pane ySplit="2" topLeftCell="A3" activePane="bottomLeft" state="frozen"/>
      <selection pane="bottomLeft"/>
    </sheetView>
  </sheetViews>
  <sheetFormatPr defaultRowHeight="14.5" x14ac:dyDescent="0.35"/>
  <cols>
    <col min="1" max="1" width="6" customWidth="1"/>
    <col min="2" max="2" width="18" customWidth="1"/>
    <col min="3" max="3" width="35" customWidth="1"/>
    <col min="4" max="4" width="25" customWidth="1"/>
    <col min="5" max="5" width="30" customWidth="1"/>
    <col min="6" max="6" width="20" customWidth="1"/>
    <col min="7" max="8" width="40" customWidth="1"/>
    <col min="9" max="9" width="35" customWidth="1"/>
    <col min="10" max="10" width="40" customWidth="1"/>
  </cols>
  <sheetData>
    <row r="1" spans="1:10" ht="25" customHeight="1" x14ac:dyDescent="0.35">
      <c r="A1" s="43" t="s">
        <v>53</v>
      </c>
      <c r="B1" s="35"/>
      <c r="C1" s="35"/>
      <c r="D1" s="35"/>
      <c r="E1" s="35"/>
      <c r="F1" s="35"/>
      <c r="G1" s="35"/>
      <c r="H1" s="35"/>
      <c r="I1" s="35"/>
      <c r="J1" s="35"/>
    </row>
    <row r="2" spans="1:10" ht="25" customHeight="1" x14ac:dyDescent="0.35">
      <c r="A2" s="11" t="s">
        <v>54</v>
      </c>
      <c r="B2" s="11" t="s">
        <v>55</v>
      </c>
      <c r="C2" s="11" t="s">
        <v>56</v>
      </c>
      <c r="D2" s="11" t="s">
        <v>57</v>
      </c>
      <c r="E2" s="11" t="s">
        <v>58</v>
      </c>
      <c r="F2" s="11" t="s">
        <v>59</v>
      </c>
      <c r="G2" s="11" t="s">
        <v>60</v>
      </c>
      <c r="H2" s="11" t="s">
        <v>61</v>
      </c>
      <c r="I2" s="11" t="s">
        <v>62</v>
      </c>
      <c r="J2" s="11" t="s">
        <v>63</v>
      </c>
    </row>
    <row r="3" spans="1:10" ht="22" customHeight="1" x14ac:dyDescent="0.35">
      <c r="A3" s="5" t="s">
        <v>64</v>
      </c>
      <c r="B3" s="12" t="s">
        <v>65</v>
      </c>
      <c r="C3" s="13" t="s">
        <v>66</v>
      </c>
      <c r="D3" s="5" t="s">
        <v>67</v>
      </c>
      <c r="E3" s="12" t="s">
        <v>68</v>
      </c>
      <c r="F3" s="5" t="s">
        <v>69</v>
      </c>
      <c r="G3" s="12" t="s">
        <v>70</v>
      </c>
      <c r="H3" s="12" t="s">
        <v>71</v>
      </c>
      <c r="I3" s="12" t="s">
        <v>72</v>
      </c>
      <c r="J3" s="14" t="s">
        <v>73</v>
      </c>
    </row>
    <row r="4" spans="1:10" ht="22" customHeight="1" x14ac:dyDescent="0.35">
      <c r="A4" s="15" t="s">
        <v>74</v>
      </c>
      <c r="B4" s="16" t="s">
        <v>75</v>
      </c>
      <c r="C4" s="17" t="s">
        <v>76</v>
      </c>
      <c r="D4" s="15" t="s">
        <v>77</v>
      </c>
      <c r="E4" s="16" t="s">
        <v>78</v>
      </c>
      <c r="F4" s="15" t="s">
        <v>79</v>
      </c>
      <c r="G4" s="16" t="s">
        <v>80</v>
      </c>
      <c r="H4" s="16" t="s">
        <v>81</v>
      </c>
      <c r="I4" s="16" t="s">
        <v>82</v>
      </c>
      <c r="J4" s="14" t="s">
        <v>83</v>
      </c>
    </row>
    <row r="5" spans="1:10" ht="22" customHeight="1" x14ac:dyDescent="0.35">
      <c r="A5" s="5" t="s">
        <v>84</v>
      </c>
      <c r="B5" s="12" t="s">
        <v>85</v>
      </c>
      <c r="C5" s="13" t="s">
        <v>86</v>
      </c>
      <c r="D5" s="5" t="s">
        <v>87</v>
      </c>
      <c r="E5" s="12" t="s">
        <v>88</v>
      </c>
      <c r="F5" s="5" t="s">
        <v>89</v>
      </c>
      <c r="G5" s="12" t="s">
        <v>90</v>
      </c>
      <c r="H5" s="12" t="s">
        <v>91</v>
      </c>
      <c r="I5" s="12" t="s">
        <v>92</v>
      </c>
      <c r="J5" s="14" t="s">
        <v>93</v>
      </c>
    </row>
    <row r="6" spans="1:10" ht="22" customHeight="1" x14ac:dyDescent="0.35">
      <c r="A6" s="15" t="s">
        <v>94</v>
      </c>
      <c r="B6" s="16" t="s">
        <v>95</v>
      </c>
      <c r="C6" s="17" t="s">
        <v>96</v>
      </c>
      <c r="D6" s="15" t="s">
        <v>97</v>
      </c>
      <c r="E6" s="16" t="s">
        <v>98</v>
      </c>
      <c r="F6" s="15" t="s">
        <v>99</v>
      </c>
      <c r="G6" s="16" t="s">
        <v>100</v>
      </c>
      <c r="H6" s="16" t="s">
        <v>101</v>
      </c>
      <c r="I6" s="16" t="s">
        <v>102</v>
      </c>
      <c r="J6" s="14" t="s">
        <v>103</v>
      </c>
    </row>
    <row r="7" spans="1:10" ht="22" customHeight="1" x14ac:dyDescent="0.35">
      <c r="A7" s="5" t="s">
        <v>104</v>
      </c>
      <c r="B7" s="12" t="s">
        <v>105</v>
      </c>
      <c r="C7" s="13" t="s">
        <v>106</v>
      </c>
      <c r="D7" s="5" t="s">
        <v>107</v>
      </c>
      <c r="E7" s="12" t="s">
        <v>108</v>
      </c>
      <c r="F7" s="5" t="s">
        <v>109</v>
      </c>
      <c r="G7" s="12" t="s">
        <v>110</v>
      </c>
      <c r="H7" s="12" t="s">
        <v>111</v>
      </c>
      <c r="I7" s="12" t="s">
        <v>112</v>
      </c>
      <c r="J7" s="14" t="s">
        <v>113</v>
      </c>
    </row>
    <row r="8" spans="1:10" ht="22" customHeight="1" x14ac:dyDescent="0.35">
      <c r="A8" s="15" t="s">
        <v>114</v>
      </c>
      <c r="B8" s="16" t="s">
        <v>105</v>
      </c>
      <c r="C8" s="17" t="s">
        <v>115</v>
      </c>
      <c r="D8" s="15" t="s">
        <v>116</v>
      </c>
      <c r="E8" s="16" t="s">
        <v>117</v>
      </c>
      <c r="F8" s="15" t="s">
        <v>89</v>
      </c>
      <c r="G8" s="16" t="s">
        <v>118</v>
      </c>
      <c r="H8" s="16" t="s">
        <v>119</v>
      </c>
      <c r="I8" s="16" t="s">
        <v>112</v>
      </c>
      <c r="J8" s="14" t="s">
        <v>120</v>
      </c>
    </row>
    <row r="9" spans="1:10" ht="22" customHeight="1" x14ac:dyDescent="0.35">
      <c r="A9" s="5" t="s">
        <v>121</v>
      </c>
      <c r="B9" s="12" t="s">
        <v>105</v>
      </c>
      <c r="C9" s="13" t="s">
        <v>122</v>
      </c>
      <c r="D9" s="5" t="s">
        <v>123</v>
      </c>
      <c r="E9" s="12" t="s">
        <v>124</v>
      </c>
      <c r="F9" s="5" t="s">
        <v>109</v>
      </c>
      <c r="G9" s="12" t="s">
        <v>125</v>
      </c>
      <c r="H9" s="12" t="s">
        <v>126</v>
      </c>
      <c r="I9" s="12" t="s">
        <v>112</v>
      </c>
      <c r="J9" s="14" t="s">
        <v>127</v>
      </c>
    </row>
    <row r="10" spans="1:10" ht="22" customHeight="1" x14ac:dyDescent="0.35">
      <c r="A10" s="15" t="s">
        <v>128</v>
      </c>
      <c r="B10" s="16" t="s">
        <v>105</v>
      </c>
      <c r="C10" s="17" t="s">
        <v>129</v>
      </c>
      <c r="D10" s="15" t="s">
        <v>130</v>
      </c>
      <c r="E10" s="16" t="s">
        <v>131</v>
      </c>
      <c r="F10" s="15" t="s">
        <v>109</v>
      </c>
      <c r="G10" s="16" t="s">
        <v>132</v>
      </c>
      <c r="H10" s="16" t="s">
        <v>133</v>
      </c>
      <c r="I10" s="16" t="s">
        <v>112</v>
      </c>
      <c r="J10" s="14" t="s">
        <v>134</v>
      </c>
    </row>
    <row r="11" spans="1:10" ht="22" customHeight="1" x14ac:dyDescent="0.35">
      <c r="A11" s="5" t="s">
        <v>135</v>
      </c>
      <c r="B11" s="12" t="s">
        <v>105</v>
      </c>
      <c r="C11" s="13" t="s">
        <v>136</v>
      </c>
      <c r="D11" s="5" t="s">
        <v>137</v>
      </c>
      <c r="E11" s="12" t="s">
        <v>138</v>
      </c>
      <c r="F11" s="5" t="s">
        <v>109</v>
      </c>
      <c r="G11" s="12" t="s">
        <v>139</v>
      </c>
      <c r="H11" s="12" t="s">
        <v>140</v>
      </c>
      <c r="I11" s="12" t="s">
        <v>112</v>
      </c>
      <c r="J11" s="14" t="s">
        <v>141</v>
      </c>
    </row>
    <row r="12" spans="1:10" ht="22" customHeight="1" x14ac:dyDescent="0.35">
      <c r="A12" s="15" t="s">
        <v>142</v>
      </c>
      <c r="B12" s="16" t="s">
        <v>105</v>
      </c>
      <c r="C12" s="17" t="s">
        <v>143</v>
      </c>
      <c r="D12" s="15" t="s">
        <v>144</v>
      </c>
      <c r="E12" s="16" t="s">
        <v>145</v>
      </c>
      <c r="F12" s="15" t="s">
        <v>109</v>
      </c>
      <c r="G12" s="16" t="s">
        <v>146</v>
      </c>
      <c r="H12" s="16" t="s">
        <v>147</v>
      </c>
      <c r="I12" s="16" t="s">
        <v>112</v>
      </c>
      <c r="J12" s="14" t="s">
        <v>148</v>
      </c>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
  <sheetViews>
    <sheetView showGridLines="0" zoomScale="70" zoomScaleNormal="70" workbookViewId="0">
      <pane ySplit="2" topLeftCell="A26" activePane="bottomLeft" state="frozen"/>
      <selection pane="bottomLeft" activeCell="A27" sqref="A27:XFD29"/>
    </sheetView>
  </sheetViews>
  <sheetFormatPr defaultRowHeight="56.5" customHeight="1" x14ac:dyDescent="0.35"/>
  <cols>
    <col min="1" max="1" width="8" customWidth="1"/>
    <col min="2" max="2" width="15" customWidth="1"/>
    <col min="3" max="3" width="40" customWidth="1"/>
    <col min="4" max="4" width="30" customWidth="1"/>
    <col min="5" max="6" width="25" customWidth="1"/>
    <col min="7" max="8" width="40" customWidth="1"/>
    <col min="9" max="11" width="35" customWidth="1"/>
  </cols>
  <sheetData>
    <row r="1" spans="1:11" ht="56.5" customHeight="1" x14ac:dyDescent="0.35">
      <c r="A1" s="43" t="s">
        <v>149</v>
      </c>
      <c r="B1" s="35"/>
      <c r="C1" s="35"/>
      <c r="D1" s="35"/>
      <c r="E1" s="35"/>
      <c r="F1" s="35"/>
      <c r="G1" s="35"/>
      <c r="H1" s="35"/>
      <c r="I1" s="35"/>
      <c r="J1" s="35"/>
      <c r="K1" s="35"/>
    </row>
    <row r="2" spans="1:11" ht="56.5" customHeight="1" x14ac:dyDescent="0.35">
      <c r="A2" s="11" t="s">
        <v>150</v>
      </c>
      <c r="B2" s="11" t="s">
        <v>151</v>
      </c>
      <c r="C2" s="11" t="s">
        <v>152</v>
      </c>
      <c r="D2" s="11" t="s">
        <v>153</v>
      </c>
      <c r="E2" s="11" t="s">
        <v>57</v>
      </c>
      <c r="F2" s="11" t="s">
        <v>154</v>
      </c>
      <c r="G2" s="11" t="s">
        <v>155</v>
      </c>
      <c r="H2" s="11" t="s">
        <v>156</v>
      </c>
      <c r="I2" s="11" t="s">
        <v>157</v>
      </c>
      <c r="J2" s="11" t="s">
        <v>158</v>
      </c>
      <c r="K2" s="11" t="s">
        <v>159</v>
      </c>
    </row>
    <row r="3" spans="1:11" ht="56.5" customHeight="1" x14ac:dyDescent="0.35">
      <c r="A3" s="5" t="s">
        <v>160</v>
      </c>
      <c r="B3" s="18" t="s">
        <v>161</v>
      </c>
      <c r="C3" s="12" t="s">
        <v>162</v>
      </c>
      <c r="D3" s="19" t="s">
        <v>163</v>
      </c>
      <c r="E3" s="19" t="s">
        <v>164</v>
      </c>
      <c r="F3" s="12" t="s">
        <v>165</v>
      </c>
      <c r="G3" s="12" t="s">
        <v>166</v>
      </c>
      <c r="H3" s="12" t="s">
        <v>167</v>
      </c>
      <c r="I3" s="19" t="s">
        <v>115</v>
      </c>
      <c r="J3" s="7" t="s">
        <v>168</v>
      </c>
      <c r="K3" s="12" t="s">
        <v>169</v>
      </c>
    </row>
    <row r="4" spans="1:11" ht="56.5" customHeight="1" x14ac:dyDescent="0.35">
      <c r="A4" s="15" t="s">
        <v>160</v>
      </c>
      <c r="B4" s="20" t="s">
        <v>170</v>
      </c>
      <c r="C4" s="16" t="s">
        <v>171</v>
      </c>
      <c r="D4" s="21" t="s">
        <v>172</v>
      </c>
      <c r="E4" s="21" t="s">
        <v>107</v>
      </c>
      <c r="F4" s="16" t="s">
        <v>173</v>
      </c>
      <c r="G4" s="16" t="s">
        <v>174</v>
      </c>
      <c r="H4" s="16" t="s">
        <v>175</v>
      </c>
      <c r="I4" s="21" t="s">
        <v>106</v>
      </c>
      <c r="J4" s="7" t="s">
        <v>176</v>
      </c>
      <c r="K4" s="16" t="s">
        <v>177</v>
      </c>
    </row>
    <row r="5" spans="1:11" ht="56.5" customHeight="1" x14ac:dyDescent="0.35">
      <c r="A5" s="5" t="s">
        <v>160</v>
      </c>
      <c r="B5" s="18" t="s">
        <v>89</v>
      </c>
      <c r="C5" s="12" t="s">
        <v>178</v>
      </c>
      <c r="D5" s="19" t="s">
        <v>179</v>
      </c>
      <c r="E5" s="19" t="s">
        <v>67</v>
      </c>
      <c r="F5" s="12" t="s">
        <v>180</v>
      </c>
      <c r="G5" s="12" t="s">
        <v>181</v>
      </c>
      <c r="H5" s="12" t="s">
        <v>182</v>
      </c>
      <c r="I5" s="19" t="s">
        <v>66</v>
      </c>
      <c r="J5" s="7" t="s">
        <v>183</v>
      </c>
      <c r="K5" s="12" t="s">
        <v>184</v>
      </c>
    </row>
    <row r="6" spans="1:11" ht="56.5" customHeight="1" x14ac:dyDescent="0.35">
      <c r="A6" s="15" t="s">
        <v>185</v>
      </c>
      <c r="B6" s="20" t="s">
        <v>161</v>
      </c>
      <c r="C6" s="16" t="s">
        <v>186</v>
      </c>
      <c r="D6" s="21" t="s">
        <v>187</v>
      </c>
      <c r="E6" s="21" t="s">
        <v>137</v>
      </c>
      <c r="F6" s="16" t="s">
        <v>188</v>
      </c>
      <c r="G6" s="16" t="s">
        <v>189</v>
      </c>
      <c r="H6" s="16" t="s">
        <v>190</v>
      </c>
      <c r="I6" s="21" t="s">
        <v>136</v>
      </c>
      <c r="J6" s="7" t="s">
        <v>191</v>
      </c>
      <c r="K6" s="16" t="s">
        <v>192</v>
      </c>
    </row>
    <row r="7" spans="1:11" ht="56.5" customHeight="1" x14ac:dyDescent="0.35">
      <c r="A7" s="5" t="s">
        <v>185</v>
      </c>
      <c r="B7" s="18" t="s">
        <v>170</v>
      </c>
      <c r="C7" s="12" t="s">
        <v>193</v>
      </c>
      <c r="D7" s="19" t="s">
        <v>194</v>
      </c>
      <c r="E7" s="19" t="s">
        <v>195</v>
      </c>
      <c r="F7" s="12" t="s">
        <v>196</v>
      </c>
      <c r="G7" s="12" t="s">
        <v>197</v>
      </c>
      <c r="H7" s="12" t="s">
        <v>198</v>
      </c>
      <c r="I7" s="19" t="s">
        <v>136</v>
      </c>
      <c r="J7" s="7" t="s">
        <v>199</v>
      </c>
      <c r="K7" s="12" t="s">
        <v>200</v>
      </c>
    </row>
    <row r="8" spans="1:11" ht="56.5" customHeight="1" x14ac:dyDescent="0.35">
      <c r="A8" s="15" t="s">
        <v>185</v>
      </c>
      <c r="B8" s="20" t="s">
        <v>89</v>
      </c>
      <c r="C8" s="16" t="s">
        <v>201</v>
      </c>
      <c r="D8" s="21" t="s">
        <v>202</v>
      </c>
      <c r="E8" s="21" t="s">
        <v>203</v>
      </c>
      <c r="F8" s="16" t="s">
        <v>204</v>
      </c>
      <c r="G8" s="16" t="s">
        <v>205</v>
      </c>
      <c r="H8" s="16" t="s">
        <v>206</v>
      </c>
      <c r="I8" s="21" t="s">
        <v>136</v>
      </c>
      <c r="J8" s="7" t="s">
        <v>207</v>
      </c>
      <c r="K8" s="16" t="s">
        <v>208</v>
      </c>
    </row>
    <row r="9" spans="1:11" ht="56.5" customHeight="1" x14ac:dyDescent="0.35">
      <c r="A9" s="5" t="s">
        <v>209</v>
      </c>
      <c r="B9" s="18" t="s">
        <v>161</v>
      </c>
      <c r="C9" s="12" t="s">
        <v>210</v>
      </c>
      <c r="D9" s="19" t="s">
        <v>211</v>
      </c>
      <c r="E9" s="19" t="s">
        <v>130</v>
      </c>
      <c r="F9" s="12" t="s">
        <v>212</v>
      </c>
      <c r="G9" s="12" t="s">
        <v>213</v>
      </c>
      <c r="H9" s="12" t="s">
        <v>214</v>
      </c>
      <c r="I9" s="19" t="s">
        <v>129</v>
      </c>
      <c r="J9" s="7" t="s">
        <v>215</v>
      </c>
      <c r="K9" s="12" t="s">
        <v>216</v>
      </c>
    </row>
    <row r="10" spans="1:11" ht="56.5" customHeight="1" x14ac:dyDescent="0.35">
      <c r="A10" s="15" t="s">
        <v>209</v>
      </c>
      <c r="B10" s="20" t="s">
        <v>170</v>
      </c>
      <c r="C10" s="16" t="s">
        <v>217</v>
      </c>
      <c r="D10" s="21" t="s">
        <v>218</v>
      </c>
      <c r="E10" s="21" t="s">
        <v>219</v>
      </c>
      <c r="F10" s="16" t="s">
        <v>220</v>
      </c>
      <c r="G10" s="16" t="s">
        <v>221</v>
      </c>
      <c r="H10" s="16" t="s">
        <v>222</v>
      </c>
      <c r="I10" s="21" t="s">
        <v>129</v>
      </c>
      <c r="J10" s="7" t="s">
        <v>223</v>
      </c>
      <c r="K10" s="16" t="s">
        <v>224</v>
      </c>
    </row>
    <row r="11" spans="1:11" ht="56.5" customHeight="1" x14ac:dyDescent="0.35">
      <c r="A11" s="5" t="s">
        <v>209</v>
      </c>
      <c r="B11" s="18" t="s">
        <v>89</v>
      </c>
      <c r="C11" s="12" t="s">
        <v>225</v>
      </c>
      <c r="D11" s="19" t="s">
        <v>226</v>
      </c>
      <c r="E11" s="19" t="s">
        <v>130</v>
      </c>
      <c r="F11" s="12" t="s">
        <v>227</v>
      </c>
      <c r="G11" s="12" t="s">
        <v>228</v>
      </c>
      <c r="H11" s="12" t="s">
        <v>229</v>
      </c>
      <c r="I11" s="19" t="s">
        <v>129</v>
      </c>
      <c r="J11" s="7" t="s">
        <v>230</v>
      </c>
      <c r="K11" s="12" t="s">
        <v>231</v>
      </c>
    </row>
    <row r="12" spans="1:11" ht="56.5" customHeight="1" x14ac:dyDescent="0.35">
      <c r="A12" s="15" t="s">
        <v>232</v>
      </c>
      <c r="B12" s="20" t="s">
        <v>161</v>
      </c>
      <c r="C12" s="16" t="s">
        <v>233</v>
      </c>
      <c r="D12" s="21" t="s">
        <v>234</v>
      </c>
      <c r="E12" s="21" t="s">
        <v>164</v>
      </c>
      <c r="F12" s="16" t="s">
        <v>235</v>
      </c>
      <c r="G12" s="16" t="s">
        <v>236</v>
      </c>
      <c r="H12" s="16" t="s">
        <v>237</v>
      </c>
      <c r="I12" s="21" t="s">
        <v>115</v>
      </c>
      <c r="J12" s="7" t="s">
        <v>238</v>
      </c>
      <c r="K12" s="16" t="s">
        <v>239</v>
      </c>
    </row>
    <row r="13" spans="1:11" ht="56.5" customHeight="1" x14ac:dyDescent="0.35">
      <c r="A13" s="5" t="s">
        <v>232</v>
      </c>
      <c r="B13" s="18" t="s">
        <v>170</v>
      </c>
      <c r="C13" s="12" t="s">
        <v>240</v>
      </c>
      <c r="D13" s="19" t="s">
        <v>241</v>
      </c>
      <c r="E13" s="19" t="s">
        <v>144</v>
      </c>
      <c r="F13" s="12" t="s">
        <v>242</v>
      </c>
      <c r="G13" s="12" t="s">
        <v>243</v>
      </c>
      <c r="H13" s="12" t="s">
        <v>244</v>
      </c>
      <c r="I13" s="19" t="s">
        <v>143</v>
      </c>
      <c r="J13" s="7" t="s">
        <v>245</v>
      </c>
      <c r="K13" s="12" t="s">
        <v>246</v>
      </c>
    </row>
    <row r="14" spans="1:11" ht="56.5" customHeight="1" x14ac:dyDescent="0.35">
      <c r="A14" s="15" t="s">
        <v>232</v>
      </c>
      <c r="B14" s="20" t="s">
        <v>89</v>
      </c>
      <c r="C14" s="16" t="s">
        <v>247</v>
      </c>
      <c r="D14" s="21" t="s">
        <v>248</v>
      </c>
      <c r="E14" s="21" t="s">
        <v>144</v>
      </c>
      <c r="F14" s="16" t="s">
        <v>249</v>
      </c>
      <c r="G14" s="16" t="s">
        <v>250</v>
      </c>
      <c r="H14" s="16" t="s">
        <v>251</v>
      </c>
      <c r="I14" s="21" t="s">
        <v>143</v>
      </c>
      <c r="J14" s="7" t="s">
        <v>252</v>
      </c>
      <c r="K14" s="16" t="s">
        <v>253</v>
      </c>
    </row>
    <row r="15" spans="1:11" ht="56.5" customHeight="1" x14ac:dyDescent="0.35">
      <c r="A15" s="5" t="s">
        <v>254</v>
      </c>
      <c r="B15" s="18" t="s">
        <v>161</v>
      </c>
      <c r="C15" s="12" t="s">
        <v>255</v>
      </c>
      <c r="D15" s="19" t="s">
        <v>256</v>
      </c>
      <c r="E15" s="19" t="s">
        <v>195</v>
      </c>
      <c r="F15" s="12" t="s">
        <v>257</v>
      </c>
      <c r="G15" s="12" t="s">
        <v>258</v>
      </c>
      <c r="H15" s="12" t="s">
        <v>259</v>
      </c>
      <c r="I15" s="19" t="s">
        <v>136</v>
      </c>
      <c r="J15" s="7" t="s">
        <v>260</v>
      </c>
      <c r="K15" s="12" t="s">
        <v>261</v>
      </c>
    </row>
    <row r="16" spans="1:11" ht="56.5" customHeight="1" x14ac:dyDescent="0.35">
      <c r="A16" s="15" t="s">
        <v>254</v>
      </c>
      <c r="B16" s="20" t="s">
        <v>170</v>
      </c>
      <c r="C16" s="16" t="s">
        <v>262</v>
      </c>
      <c r="D16" s="21" t="s">
        <v>263</v>
      </c>
      <c r="E16" s="21" t="s">
        <v>203</v>
      </c>
      <c r="F16" s="16" t="s">
        <v>264</v>
      </c>
      <c r="G16" s="16" t="s">
        <v>265</v>
      </c>
      <c r="H16" s="16" t="s">
        <v>266</v>
      </c>
      <c r="I16" s="21" t="s">
        <v>136</v>
      </c>
      <c r="J16" s="7" t="s">
        <v>267</v>
      </c>
      <c r="K16" s="16" t="s">
        <v>268</v>
      </c>
    </row>
    <row r="17" spans="1:11" ht="56.5" customHeight="1" x14ac:dyDescent="0.35">
      <c r="A17" s="5" t="s">
        <v>254</v>
      </c>
      <c r="B17" s="18" t="s">
        <v>89</v>
      </c>
      <c r="C17" s="12" t="s">
        <v>269</v>
      </c>
      <c r="D17" s="19" t="s">
        <v>270</v>
      </c>
      <c r="E17" s="19" t="s">
        <v>203</v>
      </c>
      <c r="F17" s="12" t="s">
        <v>271</v>
      </c>
      <c r="G17" s="12" t="s">
        <v>272</v>
      </c>
      <c r="H17" s="12" t="s">
        <v>273</v>
      </c>
      <c r="I17" s="19" t="s">
        <v>136</v>
      </c>
      <c r="J17" s="7" t="s">
        <v>274</v>
      </c>
      <c r="K17" s="12" t="s">
        <v>275</v>
      </c>
    </row>
    <row r="18" spans="1:11" ht="56.5" customHeight="1" x14ac:dyDescent="0.35">
      <c r="A18" s="15" t="s">
        <v>276</v>
      </c>
      <c r="B18" s="20" t="s">
        <v>161</v>
      </c>
      <c r="C18" s="16" t="s">
        <v>277</v>
      </c>
      <c r="D18" s="21" t="s">
        <v>278</v>
      </c>
      <c r="E18" s="21" t="s">
        <v>107</v>
      </c>
      <c r="F18" s="16" t="s">
        <v>279</v>
      </c>
      <c r="G18" s="16" t="s">
        <v>280</v>
      </c>
      <c r="H18" s="16" t="s">
        <v>281</v>
      </c>
      <c r="I18" s="21" t="s">
        <v>106</v>
      </c>
      <c r="J18" s="7" t="s">
        <v>282</v>
      </c>
      <c r="K18" s="16" t="s">
        <v>283</v>
      </c>
    </row>
    <row r="19" spans="1:11" ht="56.5" customHeight="1" x14ac:dyDescent="0.35">
      <c r="A19" s="5" t="s">
        <v>276</v>
      </c>
      <c r="B19" s="18" t="s">
        <v>170</v>
      </c>
      <c r="C19" s="12" t="s">
        <v>284</v>
      </c>
      <c r="D19" s="19" t="s">
        <v>285</v>
      </c>
      <c r="E19" s="19" t="s">
        <v>67</v>
      </c>
      <c r="F19" s="12" t="s">
        <v>286</v>
      </c>
      <c r="G19" s="12" t="s">
        <v>287</v>
      </c>
      <c r="H19" s="12" t="s">
        <v>288</v>
      </c>
      <c r="I19" s="19" t="s">
        <v>66</v>
      </c>
      <c r="J19" s="7" t="s">
        <v>289</v>
      </c>
      <c r="K19" s="12" t="s">
        <v>290</v>
      </c>
    </row>
    <row r="20" spans="1:11" ht="56.5" customHeight="1" x14ac:dyDescent="0.35">
      <c r="A20" s="15" t="s">
        <v>276</v>
      </c>
      <c r="B20" s="20" t="s">
        <v>89</v>
      </c>
      <c r="C20" s="16" t="s">
        <v>291</v>
      </c>
      <c r="D20" s="21" t="s">
        <v>292</v>
      </c>
      <c r="E20" s="21" t="s">
        <v>87</v>
      </c>
      <c r="F20" s="16" t="s">
        <v>293</v>
      </c>
      <c r="G20" s="16" t="s">
        <v>294</v>
      </c>
      <c r="H20" s="16" t="s">
        <v>295</v>
      </c>
      <c r="I20" s="21" t="s">
        <v>96</v>
      </c>
      <c r="J20" s="7" t="s">
        <v>296</v>
      </c>
      <c r="K20" s="16" t="s">
        <v>297</v>
      </c>
    </row>
    <row r="21" spans="1:11" ht="56.5" customHeight="1" x14ac:dyDescent="0.35">
      <c r="A21" s="5" t="s">
        <v>298</v>
      </c>
      <c r="B21" s="18" t="s">
        <v>161</v>
      </c>
      <c r="C21" s="12" t="s">
        <v>299</v>
      </c>
      <c r="D21" s="19" t="s">
        <v>300</v>
      </c>
      <c r="E21" s="19" t="s">
        <v>107</v>
      </c>
      <c r="F21" s="12" t="s">
        <v>301</v>
      </c>
      <c r="G21" s="12" t="s">
        <v>302</v>
      </c>
      <c r="H21" s="12" t="s">
        <v>303</v>
      </c>
      <c r="I21" s="19" t="s">
        <v>106</v>
      </c>
      <c r="J21" s="7" t="s">
        <v>304</v>
      </c>
      <c r="K21" s="12" t="s">
        <v>305</v>
      </c>
    </row>
    <row r="22" spans="1:11" ht="56.5" customHeight="1" x14ac:dyDescent="0.35">
      <c r="A22" s="15" t="s">
        <v>298</v>
      </c>
      <c r="B22" s="20" t="s">
        <v>170</v>
      </c>
      <c r="C22" s="16" t="s">
        <v>306</v>
      </c>
      <c r="D22" s="21" t="s">
        <v>307</v>
      </c>
      <c r="E22" s="21" t="s">
        <v>164</v>
      </c>
      <c r="F22" s="16" t="s">
        <v>308</v>
      </c>
      <c r="G22" s="16" t="s">
        <v>309</v>
      </c>
      <c r="H22" s="16" t="s">
        <v>310</v>
      </c>
      <c r="I22" s="21" t="s">
        <v>115</v>
      </c>
      <c r="J22" s="7" t="s">
        <v>311</v>
      </c>
      <c r="K22" s="16" t="s">
        <v>312</v>
      </c>
    </row>
    <row r="23" spans="1:11" ht="56.5" customHeight="1" x14ac:dyDescent="0.35">
      <c r="A23" s="5" t="s">
        <v>298</v>
      </c>
      <c r="B23" s="18" t="s">
        <v>89</v>
      </c>
      <c r="C23" s="12" t="s">
        <v>313</v>
      </c>
      <c r="D23" s="19" t="s">
        <v>314</v>
      </c>
      <c r="E23" s="19" t="s">
        <v>67</v>
      </c>
      <c r="F23" s="12" t="s">
        <v>315</v>
      </c>
      <c r="G23" s="12" t="s">
        <v>316</v>
      </c>
      <c r="H23" s="12" t="s">
        <v>317</v>
      </c>
      <c r="I23" s="19" t="s">
        <v>66</v>
      </c>
      <c r="J23" s="7" t="s">
        <v>318</v>
      </c>
      <c r="K23" s="12" t="s">
        <v>319</v>
      </c>
    </row>
    <row r="24" spans="1:11" ht="56.5" customHeight="1" x14ac:dyDescent="0.35">
      <c r="A24" s="15" t="s">
        <v>320</v>
      </c>
      <c r="B24" s="20" t="s">
        <v>161</v>
      </c>
      <c r="C24" s="16" t="s">
        <v>321</v>
      </c>
      <c r="D24" s="21" t="s">
        <v>322</v>
      </c>
      <c r="E24" s="21" t="s">
        <v>219</v>
      </c>
      <c r="F24" s="16" t="s">
        <v>323</v>
      </c>
      <c r="G24" s="16" t="s">
        <v>324</v>
      </c>
      <c r="H24" s="16" t="s">
        <v>325</v>
      </c>
      <c r="I24" s="21" t="s">
        <v>129</v>
      </c>
      <c r="J24" s="7" t="s">
        <v>326</v>
      </c>
      <c r="K24" s="16" t="s">
        <v>327</v>
      </c>
    </row>
    <row r="25" spans="1:11" ht="56.5" customHeight="1" x14ac:dyDescent="0.35">
      <c r="A25" s="5" t="s">
        <v>320</v>
      </c>
      <c r="B25" s="18" t="s">
        <v>170</v>
      </c>
      <c r="C25" s="12" t="s">
        <v>328</v>
      </c>
      <c r="D25" s="19" t="s">
        <v>329</v>
      </c>
      <c r="E25" s="19" t="s">
        <v>130</v>
      </c>
      <c r="F25" s="12" t="s">
        <v>330</v>
      </c>
      <c r="G25" s="12" t="s">
        <v>331</v>
      </c>
      <c r="H25" s="12" t="s">
        <v>332</v>
      </c>
      <c r="I25" s="19" t="s">
        <v>129</v>
      </c>
      <c r="J25" s="7" t="s">
        <v>333</v>
      </c>
      <c r="K25" s="12" t="s">
        <v>334</v>
      </c>
    </row>
    <row r="26" spans="1:11" ht="56.5" customHeight="1" x14ac:dyDescent="0.35">
      <c r="A26" s="15" t="s">
        <v>320</v>
      </c>
      <c r="B26" s="20" t="s">
        <v>89</v>
      </c>
      <c r="C26" s="16" t="s">
        <v>335</v>
      </c>
      <c r="D26" s="21" t="s">
        <v>336</v>
      </c>
      <c r="E26" s="21" t="s">
        <v>130</v>
      </c>
      <c r="F26" s="16" t="s">
        <v>337</v>
      </c>
      <c r="G26" s="16" t="s">
        <v>338</v>
      </c>
      <c r="H26" s="16" t="s">
        <v>339</v>
      </c>
      <c r="I26" s="21" t="s">
        <v>129</v>
      </c>
      <c r="J26" s="7" t="s">
        <v>340</v>
      </c>
      <c r="K26" s="16" t="s">
        <v>341</v>
      </c>
    </row>
    <row r="27" spans="1:11" ht="56.5" customHeight="1" x14ac:dyDescent="0.35">
      <c r="A27" s="5" t="s">
        <v>342</v>
      </c>
      <c r="B27" s="18" t="s">
        <v>161</v>
      </c>
      <c r="C27" s="12" t="s">
        <v>343</v>
      </c>
      <c r="D27" s="19" t="s">
        <v>344</v>
      </c>
      <c r="E27" s="19" t="s">
        <v>144</v>
      </c>
      <c r="F27" s="12" t="s">
        <v>345</v>
      </c>
      <c r="G27" s="12" t="s">
        <v>346</v>
      </c>
      <c r="H27" s="12" t="s">
        <v>347</v>
      </c>
      <c r="I27" s="19" t="s">
        <v>143</v>
      </c>
      <c r="J27" s="7" t="s">
        <v>348</v>
      </c>
      <c r="K27" s="12" t="s">
        <v>349</v>
      </c>
    </row>
    <row r="28" spans="1:11" ht="56.5" customHeight="1" x14ac:dyDescent="0.35">
      <c r="A28" s="15" t="s">
        <v>342</v>
      </c>
      <c r="B28" s="20" t="s">
        <v>170</v>
      </c>
      <c r="C28" s="16" t="s">
        <v>350</v>
      </c>
      <c r="D28" s="21" t="s">
        <v>351</v>
      </c>
      <c r="E28" s="21" t="s">
        <v>144</v>
      </c>
      <c r="F28" s="16" t="s">
        <v>352</v>
      </c>
      <c r="G28" s="16" t="s">
        <v>353</v>
      </c>
      <c r="H28" s="16" t="s">
        <v>354</v>
      </c>
      <c r="I28" s="21" t="s">
        <v>143</v>
      </c>
      <c r="J28" s="7" t="s">
        <v>355</v>
      </c>
      <c r="K28" s="16" t="s">
        <v>356</v>
      </c>
    </row>
    <row r="29" spans="1:11" ht="56.5" customHeight="1" x14ac:dyDescent="0.35">
      <c r="A29" s="5" t="s">
        <v>342</v>
      </c>
      <c r="B29" s="18" t="s">
        <v>89</v>
      </c>
      <c r="C29" s="12" t="s">
        <v>357</v>
      </c>
      <c r="D29" s="19" t="s">
        <v>358</v>
      </c>
      <c r="E29" s="19" t="s">
        <v>144</v>
      </c>
      <c r="F29" s="12" t="s">
        <v>359</v>
      </c>
      <c r="G29" s="12" t="s">
        <v>360</v>
      </c>
      <c r="H29" s="12" t="s">
        <v>361</v>
      </c>
      <c r="I29" s="19" t="s">
        <v>143</v>
      </c>
      <c r="J29" s="7" t="s">
        <v>362</v>
      </c>
      <c r="K29" s="12" t="s">
        <v>363</v>
      </c>
    </row>
    <row r="30" spans="1:11" ht="56.5" customHeight="1" x14ac:dyDescent="0.35">
      <c r="A30" s="15" t="s">
        <v>364</v>
      </c>
      <c r="B30" s="20" t="s">
        <v>161</v>
      </c>
      <c r="C30" s="16" t="s">
        <v>365</v>
      </c>
      <c r="D30" s="21" t="s">
        <v>366</v>
      </c>
      <c r="E30" s="21" t="s">
        <v>195</v>
      </c>
      <c r="F30" s="16" t="s">
        <v>367</v>
      </c>
      <c r="G30" s="16" t="s">
        <v>368</v>
      </c>
      <c r="H30" s="16" t="s">
        <v>369</v>
      </c>
      <c r="I30" s="21" t="s">
        <v>136</v>
      </c>
      <c r="J30" s="7" t="s">
        <v>370</v>
      </c>
      <c r="K30" s="16" t="s">
        <v>371</v>
      </c>
    </row>
    <row r="31" spans="1:11" ht="56.5" customHeight="1" x14ac:dyDescent="0.35">
      <c r="A31" s="5" t="s">
        <v>364</v>
      </c>
      <c r="B31" s="18" t="s">
        <v>170</v>
      </c>
      <c r="C31" s="12" t="s">
        <v>372</v>
      </c>
      <c r="D31" s="19" t="s">
        <v>373</v>
      </c>
      <c r="E31" s="19" t="s">
        <v>195</v>
      </c>
      <c r="F31" s="12" t="s">
        <v>374</v>
      </c>
      <c r="G31" s="12" t="s">
        <v>375</v>
      </c>
      <c r="H31" s="12" t="s">
        <v>376</v>
      </c>
      <c r="I31" s="19" t="s">
        <v>136</v>
      </c>
      <c r="J31" s="7" t="s">
        <v>377</v>
      </c>
      <c r="K31" s="12" t="s">
        <v>378</v>
      </c>
    </row>
    <row r="32" spans="1:11" ht="56.5" customHeight="1" x14ac:dyDescent="0.35">
      <c r="A32" s="15" t="s">
        <v>364</v>
      </c>
      <c r="B32" s="20" t="s">
        <v>89</v>
      </c>
      <c r="C32" s="16" t="s">
        <v>379</v>
      </c>
      <c r="D32" s="21" t="s">
        <v>380</v>
      </c>
      <c r="E32" s="21" t="s">
        <v>203</v>
      </c>
      <c r="F32" s="16" t="s">
        <v>381</v>
      </c>
      <c r="G32" s="16" t="s">
        <v>382</v>
      </c>
      <c r="H32" s="16" t="s">
        <v>383</v>
      </c>
      <c r="I32" s="21" t="s">
        <v>136</v>
      </c>
      <c r="J32" s="7" t="s">
        <v>384</v>
      </c>
      <c r="K32" s="16" t="s">
        <v>385</v>
      </c>
    </row>
  </sheetData>
  <mergeCells count="1">
    <mergeCell ref="A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64AD-2B00-4AEE-AB60-8ECD2513F5E9}">
  <dimension ref="A1:K5"/>
  <sheetViews>
    <sheetView tabSelected="1" zoomScale="85" zoomScaleNormal="85" workbookViewId="0">
      <selection sqref="A1:XFD1048576"/>
    </sheetView>
  </sheetViews>
  <sheetFormatPr defaultRowHeight="14.5" x14ac:dyDescent="0.35"/>
  <cols>
    <col min="1" max="1" width="26.453125" customWidth="1"/>
    <col min="2" max="2" width="45.08984375" customWidth="1"/>
    <col min="3" max="3" width="49.1796875" customWidth="1"/>
    <col min="4" max="4" width="30.7265625" customWidth="1"/>
    <col min="5" max="5" width="31" customWidth="1"/>
    <col min="6" max="6" width="32.26953125" customWidth="1"/>
    <col min="7" max="7" width="49.08984375" customWidth="1"/>
    <col min="8" max="8" width="37.6328125" customWidth="1"/>
    <col min="9" max="9" width="40" customWidth="1"/>
    <col min="10" max="10" width="38.90625" customWidth="1"/>
    <col min="11" max="11" width="43.54296875" customWidth="1"/>
  </cols>
  <sheetData>
    <row r="1" spans="1:11" ht="56.5" customHeight="1" x14ac:dyDescent="0.35">
      <c r="A1" s="43" t="s">
        <v>149</v>
      </c>
      <c r="B1" s="35"/>
      <c r="C1" s="35"/>
      <c r="D1" s="35"/>
      <c r="E1" s="35"/>
      <c r="F1" s="35"/>
      <c r="G1" s="35"/>
      <c r="H1" s="35"/>
      <c r="I1" s="35"/>
      <c r="J1" s="35"/>
      <c r="K1" s="35"/>
    </row>
    <row r="2" spans="1:11" ht="56.5" customHeight="1" thickBot="1" x14ac:dyDescent="0.4">
      <c r="A2" s="11" t="s">
        <v>150</v>
      </c>
      <c r="B2" s="11" t="s">
        <v>151</v>
      </c>
      <c r="C2" s="11" t="s">
        <v>152</v>
      </c>
      <c r="D2" s="11" t="s">
        <v>153</v>
      </c>
      <c r="E2" s="11" t="s">
        <v>57</v>
      </c>
      <c r="F2" s="11" t="s">
        <v>154</v>
      </c>
      <c r="G2" s="11" t="s">
        <v>155</v>
      </c>
      <c r="H2" s="11" t="s">
        <v>156</v>
      </c>
      <c r="I2" s="11" t="s">
        <v>157</v>
      </c>
      <c r="J2" s="11" t="s">
        <v>158</v>
      </c>
      <c r="K2" s="11" t="s">
        <v>159</v>
      </c>
    </row>
    <row r="3" spans="1:11" s="48" customFormat="1" ht="56.5" customHeight="1" x14ac:dyDescent="0.35">
      <c r="A3" s="49" t="s">
        <v>342</v>
      </c>
      <c r="B3" s="54" t="s">
        <v>161</v>
      </c>
      <c r="C3" s="51" t="s">
        <v>343</v>
      </c>
      <c r="D3" s="55" t="s">
        <v>344</v>
      </c>
      <c r="E3" s="55" t="s">
        <v>144</v>
      </c>
      <c r="F3" s="51" t="s">
        <v>345</v>
      </c>
      <c r="G3" s="51" t="s">
        <v>346</v>
      </c>
      <c r="H3" s="51" t="s">
        <v>347</v>
      </c>
      <c r="I3" s="55" t="s">
        <v>143</v>
      </c>
      <c r="J3" s="50" t="s">
        <v>348</v>
      </c>
      <c r="K3" s="51" t="s">
        <v>349</v>
      </c>
    </row>
    <row r="4" spans="1:11" s="48" customFormat="1" ht="56.5" customHeight="1" x14ac:dyDescent="0.35">
      <c r="A4" s="52" t="s">
        <v>342</v>
      </c>
      <c r="B4" s="56" t="s">
        <v>170</v>
      </c>
      <c r="C4" s="53" t="s">
        <v>350</v>
      </c>
      <c r="D4" s="57" t="s">
        <v>351</v>
      </c>
      <c r="E4" s="57" t="s">
        <v>144</v>
      </c>
      <c r="F4" s="53" t="s">
        <v>352</v>
      </c>
      <c r="G4" s="53" t="s">
        <v>353</v>
      </c>
      <c r="H4" s="53" t="s">
        <v>354</v>
      </c>
      <c r="I4" s="57" t="s">
        <v>143</v>
      </c>
      <c r="J4" s="50" t="s">
        <v>355</v>
      </c>
      <c r="K4" s="53" t="s">
        <v>356</v>
      </c>
    </row>
    <row r="5" spans="1:11" s="48" customFormat="1" ht="56.5" customHeight="1" x14ac:dyDescent="0.35">
      <c r="A5" s="49" t="s">
        <v>342</v>
      </c>
      <c r="B5" s="54" t="s">
        <v>89</v>
      </c>
      <c r="C5" s="51" t="s">
        <v>357</v>
      </c>
      <c r="D5" s="55" t="s">
        <v>358</v>
      </c>
      <c r="E5" s="55" t="s">
        <v>144</v>
      </c>
      <c r="F5" s="51" t="s">
        <v>359</v>
      </c>
      <c r="G5" s="51" t="s">
        <v>360</v>
      </c>
      <c r="H5" s="51" t="s">
        <v>361</v>
      </c>
      <c r="I5" s="55" t="s">
        <v>143</v>
      </c>
      <c r="J5" s="50" t="s">
        <v>362</v>
      </c>
      <c r="K5" s="51" t="s">
        <v>363</v>
      </c>
    </row>
  </sheetData>
  <mergeCells count="1">
    <mergeCell ref="A1:K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showGridLines="0" workbookViewId="0">
      <pane ySplit="2" topLeftCell="A3" activePane="bottomLeft" state="frozen"/>
      <selection pane="bottomLeft"/>
    </sheetView>
  </sheetViews>
  <sheetFormatPr defaultRowHeight="14.5" x14ac:dyDescent="0.35"/>
  <cols>
    <col min="1" max="1" width="6" customWidth="1"/>
    <col min="2" max="2" width="15" customWidth="1"/>
    <col min="3" max="3" width="25" customWidth="1"/>
    <col min="4" max="4" width="20" customWidth="1"/>
    <col min="5" max="5" width="35" customWidth="1"/>
    <col min="6" max="7" width="45" customWidth="1"/>
  </cols>
  <sheetData>
    <row r="1" spans="1:7" ht="25" customHeight="1" x14ac:dyDescent="0.35">
      <c r="A1" s="43" t="s">
        <v>386</v>
      </c>
      <c r="B1" s="35"/>
      <c r="C1" s="35"/>
      <c r="D1" s="35"/>
      <c r="E1" s="35"/>
      <c r="F1" s="35"/>
      <c r="G1" s="35"/>
    </row>
    <row r="2" spans="1:7" ht="25" customHeight="1" x14ac:dyDescent="0.35">
      <c r="A2" s="11" t="s">
        <v>54</v>
      </c>
      <c r="B2" s="11" t="s">
        <v>387</v>
      </c>
      <c r="C2" s="11" t="s">
        <v>388</v>
      </c>
      <c r="D2" s="11" t="s">
        <v>389</v>
      </c>
      <c r="E2" s="11" t="s">
        <v>390</v>
      </c>
      <c r="F2" s="11" t="s">
        <v>391</v>
      </c>
      <c r="G2" s="11" t="s">
        <v>392</v>
      </c>
    </row>
    <row r="3" spans="1:7" ht="22" customHeight="1" x14ac:dyDescent="0.35">
      <c r="A3" s="5" t="s">
        <v>64</v>
      </c>
      <c r="B3" s="7" t="s">
        <v>393</v>
      </c>
      <c r="C3" s="12" t="s">
        <v>394</v>
      </c>
      <c r="D3" s="19" t="s">
        <v>395</v>
      </c>
      <c r="E3" s="12" t="s">
        <v>396</v>
      </c>
      <c r="F3" s="12" t="s">
        <v>397</v>
      </c>
      <c r="G3" s="12" t="s">
        <v>398</v>
      </c>
    </row>
    <row r="4" spans="1:7" ht="22" customHeight="1" x14ac:dyDescent="0.35">
      <c r="A4" s="15" t="s">
        <v>74</v>
      </c>
      <c r="B4" s="7" t="s">
        <v>399</v>
      </c>
      <c r="C4" s="16" t="s">
        <v>400</v>
      </c>
      <c r="D4" s="21" t="s">
        <v>401</v>
      </c>
      <c r="E4" s="16" t="s">
        <v>402</v>
      </c>
      <c r="F4" s="16" t="s">
        <v>403</v>
      </c>
      <c r="G4" s="16" t="s">
        <v>404</v>
      </c>
    </row>
    <row r="5" spans="1:7" ht="22" customHeight="1" x14ac:dyDescent="0.35">
      <c r="A5" s="5" t="s">
        <v>84</v>
      </c>
      <c r="B5" s="7" t="s">
        <v>405</v>
      </c>
      <c r="C5" s="12" t="s">
        <v>406</v>
      </c>
      <c r="D5" s="19" t="s">
        <v>407</v>
      </c>
      <c r="E5" s="12" t="s">
        <v>408</v>
      </c>
      <c r="F5" s="12" t="s">
        <v>409</v>
      </c>
      <c r="G5" s="12" t="s">
        <v>410</v>
      </c>
    </row>
    <row r="6" spans="1:7" ht="22" customHeight="1" x14ac:dyDescent="0.35">
      <c r="A6" s="15" t="s">
        <v>94</v>
      </c>
      <c r="B6" s="7" t="s">
        <v>393</v>
      </c>
      <c r="C6" s="16" t="s">
        <v>411</v>
      </c>
      <c r="D6" s="21" t="s">
        <v>412</v>
      </c>
      <c r="E6" s="16" t="s">
        <v>413</v>
      </c>
      <c r="F6" s="16" t="s">
        <v>414</v>
      </c>
      <c r="G6" s="16" t="s">
        <v>415</v>
      </c>
    </row>
    <row r="7" spans="1:7" ht="22" customHeight="1" x14ac:dyDescent="0.35">
      <c r="A7" s="5" t="s">
        <v>104</v>
      </c>
      <c r="B7" s="7" t="s">
        <v>399</v>
      </c>
      <c r="C7" s="12" t="s">
        <v>416</v>
      </c>
      <c r="D7" s="19" t="s">
        <v>417</v>
      </c>
      <c r="E7" s="12" t="s">
        <v>418</v>
      </c>
      <c r="F7" s="12" t="s">
        <v>419</v>
      </c>
      <c r="G7" s="12" t="s">
        <v>420</v>
      </c>
    </row>
    <row r="8" spans="1:7" ht="22" customHeight="1" x14ac:dyDescent="0.35">
      <c r="A8" s="15" t="s">
        <v>114</v>
      </c>
      <c r="B8" s="7" t="s">
        <v>405</v>
      </c>
      <c r="C8" s="16" t="s">
        <v>271</v>
      </c>
      <c r="D8" s="21" t="s">
        <v>421</v>
      </c>
      <c r="E8" s="16" t="s">
        <v>422</v>
      </c>
      <c r="F8" s="16" t="s">
        <v>423</v>
      </c>
      <c r="G8" s="16" t="s">
        <v>424</v>
      </c>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showGridLines="0" workbookViewId="0">
      <pane ySplit="2" topLeftCell="A3" activePane="bottomLeft" state="frozen"/>
      <selection pane="bottomLeft"/>
    </sheetView>
  </sheetViews>
  <sheetFormatPr defaultRowHeight="14.5" x14ac:dyDescent="0.35"/>
  <cols>
    <col min="1" max="1" width="6" customWidth="1"/>
    <col min="2" max="3" width="35" customWidth="1"/>
    <col min="4" max="5" width="25" customWidth="1"/>
    <col min="6" max="6" width="40" customWidth="1"/>
    <col min="7" max="7" width="30" customWidth="1"/>
  </cols>
  <sheetData>
    <row r="1" spans="1:7" ht="25" customHeight="1" x14ac:dyDescent="0.35">
      <c r="A1" s="43" t="s">
        <v>425</v>
      </c>
      <c r="B1" s="35"/>
      <c r="C1" s="35"/>
      <c r="D1" s="35"/>
      <c r="E1" s="35"/>
      <c r="F1" s="35"/>
      <c r="G1" s="35"/>
    </row>
    <row r="2" spans="1:7" ht="25" customHeight="1" x14ac:dyDescent="0.35">
      <c r="A2" s="11" t="s">
        <v>54</v>
      </c>
      <c r="B2" s="11" t="s">
        <v>426</v>
      </c>
      <c r="C2" s="11" t="s">
        <v>427</v>
      </c>
      <c r="D2" s="11" t="s">
        <v>428</v>
      </c>
      <c r="E2" s="11" t="s">
        <v>429</v>
      </c>
      <c r="F2" s="11" t="s">
        <v>430</v>
      </c>
      <c r="G2" s="11" t="s">
        <v>431</v>
      </c>
    </row>
    <row r="3" spans="1:7" ht="22" customHeight="1" x14ac:dyDescent="0.35">
      <c r="A3" s="5" t="s">
        <v>64</v>
      </c>
      <c r="B3" s="12" t="s">
        <v>432</v>
      </c>
      <c r="C3" s="12" t="s">
        <v>115</v>
      </c>
      <c r="D3" s="22" t="s">
        <v>164</v>
      </c>
      <c r="E3" s="19" t="s">
        <v>433</v>
      </c>
      <c r="F3" s="12" t="s">
        <v>434</v>
      </c>
      <c r="G3" s="12" t="s">
        <v>435</v>
      </c>
    </row>
    <row r="4" spans="1:7" ht="22" customHeight="1" x14ac:dyDescent="0.35">
      <c r="A4" s="15" t="s">
        <v>74</v>
      </c>
      <c r="B4" s="16" t="s">
        <v>432</v>
      </c>
      <c r="C4" s="16" t="s">
        <v>66</v>
      </c>
      <c r="D4" s="22" t="s">
        <v>3</v>
      </c>
      <c r="E4" s="21" t="s">
        <v>436</v>
      </c>
      <c r="F4" s="16" t="s">
        <v>437</v>
      </c>
      <c r="G4" s="16" t="s">
        <v>438</v>
      </c>
    </row>
    <row r="5" spans="1:7" ht="22" customHeight="1" x14ac:dyDescent="0.35">
      <c r="A5" s="5" t="s">
        <v>84</v>
      </c>
      <c r="B5" s="12" t="s">
        <v>439</v>
      </c>
      <c r="C5" s="12" t="s">
        <v>106</v>
      </c>
      <c r="D5" s="22" t="s">
        <v>107</v>
      </c>
      <c r="E5" s="19" t="s">
        <v>433</v>
      </c>
      <c r="F5" s="12" t="s">
        <v>440</v>
      </c>
      <c r="G5" s="12" t="s">
        <v>441</v>
      </c>
    </row>
    <row r="6" spans="1:7" ht="22" customHeight="1" x14ac:dyDescent="0.35">
      <c r="A6" s="15" t="s">
        <v>94</v>
      </c>
      <c r="B6" s="16" t="s">
        <v>442</v>
      </c>
      <c r="C6" s="16" t="s">
        <v>136</v>
      </c>
      <c r="D6" s="22" t="s">
        <v>137</v>
      </c>
      <c r="E6" s="21" t="s">
        <v>433</v>
      </c>
      <c r="F6" s="16" t="s">
        <v>443</v>
      </c>
      <c r="G6" s="16" t="s">
        <v>444</v>
      </c>
    </row>
    <row r="7" spans="1:7" ht="22" customHeight="1" x14ac:dyDescent="0.35">
      <c r="A7" s="5" t="s">
        <v>104</v>
      </c>
      <c r="B7" s="12" t="s">
        <v>442</v>
      </c>
      <c r="C7" s="12" t="s">
        <v>445</v>
      </c>
      <c r="D7" s="22" t="s">
        <v>446</v>
      </c>
      <c r="E7" s="19" t="s">
        <v>447</v>
      </c>
      <c r="F7" s="12" t="s">
        <v>448</v>
      </c>
      <c r="G7" s="12" t="s">
        <v>449</v>
      </c>
    </row>
    <row r="8" spans="1:7" ht="22" customHeight="1" x14ac:dyDescent="0.35">
      <c r="A8" s="15" t="s">
        <v>114</v>
      </c>
      <c r="B8" s="16" t="s">
        <v>450</v>
      </c>
      <c r="C8" s="16" t="s">
        <v>106</v>
      </c>
      <c r="D8" s="22" t="s">
        <v>451</v>
      </c>
      <c r="E8" s="21" t="s">
        <v>452</v>
      </c>
      <c r="F8" s="16" t="s">
        <v>453</v>
      </c>
      <c r="G8" s="16" t="s">
        <v>454</v>
      </c>
    </row>
    <row r="9" spans="1:7" ht="22" customHeight="1" x14ac:dyDescent="0.35">
      <c r="A9" s="5" t="s">
        <v>121</v>
      </c>
      <c r="B9" s="12" t="s">
        <v>450</v>
      </c>
      <c r="C9" s="12" t="s">
        <v>115</v>
      </c>
      <c r="D9" s="22" t="s">
        <v>455</v>
      </c>
      <c r="E9" s="19" t="s">
        <v>452</v>
      </c>
      <c r="F9" s="12" t="s">
        <v>456</v>
      </c>
      <c r="G9" s="12" t="s">
        <v>457</v>
      </c>
    </row>
    <row r="10" spans="1:7" ht="22" customHeight="1" x14ac:dyDescent="0.35">
      <c r="A10" s="15" t="s">
        <v>128</v>
      </c>
      <c r="B10" s="16" t="s">
        <v>66</v>
      </c>
      <c r="C10" s="16" t="s">
        <v>96</v>
      </c>
      <c r="D10" s="22" t="s">
        <v>458</v>
      </c>
      <c r="E10" s="21" t="s">
        <v>459</v>
      </c>
      <c r="F10" s="16" t="s">
        <v>460</v>
      </c>
      <c r="G10" s="16" t="s">
        <v>461</v>
      </c>
    </row>
  </sheetData>
  <mergeCells count="1">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
  <sheetViews>
    <sheetView showGridLines="0" workbookViewId="0">
      <pane ySplit="1" topLeftCell="A2" activePane="bottomLeft" state="frozen"/>
      <selection pane="bottomLeft"/>
    </sheetView>
  </sheetViews>
  <sheetFormatPr defaultRowHeight="14.5" x14ac:dyDescent="0.35"/>
  <cols>
    <col min="1" max="1" width="25" customWidth="1"/>
    <col min="2" max="2" width="40" customWidth="1"/>
    <col min="3" max="3" width="25" customWidth="1"/>
    <col min="4" max="4" width="40" customWidth="1"/>
  </cols>
  <sheetData>
    <row r="1" spans="1:4" ht="25" customHeight="1" x14ac:dyDescent="0.35">
      <c r="A1" s="43" t="s">
        <v>462</v>
      </c>
      <c r="B1" s="35"/>
      <c r="C1" s="35"/>
      <c r="D1" s="35"/>
    </row>
    <row r="3" spans="1:4" ht="35" customHeight="1" x14ac:dyDescent="0.35">
      <c r="A3" s="23" t="s">
        <v>463</v>
      </c>
      <c r="B3" s="24" t="s">
        <v>464</v>
      </c>
      <c r="C3" s="23" t="s">
        <v>465</v>
      </c>
      <c r="D3" s="24" t="s">
        <v>466</v>
      </c>
    </row>
    <row r="4" spans="1:4" ht="35" customHeight="1" x14ac:dyDescent="0.35">
      <c r="A4" s="23" t="s">
        <v>467</v>
      </c>
      <c r="B4" s="24" t="s">
        <v>468</v>
      </c>
      <c r="C4" s="23" t="s">
        <v>469</v>
      </c>
      <c r="D4" s="24" t="s">
        <v>470</v>
      </c>
    </row>
    <row r="5" spans="1:4" ht="35" customHeight="1" x14ac:dyDescent="0.35">
      <c r="A5" s="23" t="s">
        <v>59</v>
      </c>
      <c r="B5" s="12" t="s">
        <v>471</v>
      </c>
      <c r="C5" s="23" t="s">
        <v>472</v>
      </c>
      <c r="D5" s="24" t="s">
        <v>473</v>
      </c>
    </row>
    <row r="6" spans="1:4" ht="35" customHeight="1" x14ac:dyDescent="0.35">
      <c r="A6" s="23" t="s">
        <v>474</v>
      </c>
      <c r="B6" s="12" t="s">
        <v>475</v>
      </c>
      <c r="C6" s="23" t="s">
        <v>476</v>
      </c>
      <c r="D6" s="12" t="s">
        <v>477</v>
      </c>
    </row>
    <row r="7" spans="1:4" ht="35" customHeight="1" x14ac:dyDescent="0.35">
      <c r="A7" s="23" t="s">
        <v>478</v>
      </c>
      <c r="B7" s="12" t="s">
        <v>479</v>
      </c>
      <c r="C7" s="23" t="s">
        <v>480</v>
      </c>
      <c r="D7" s="12" t="s">
        <v>481</v>
      </c>
    </row>
    <row r="8" spans="1:4" ht="35" customHeight="1" x14ac:dyDescent="0.35">
      <c r="A8" s="23" t="s">
        <v>482</v>
      </c>
      <c r="B8" s="12" t="s">
        <v>483</v>
      </c>
      <c r="C8" s="23" t="s">
        <v>484</v>
      </c>
      <c r="D8" s="12" t="s">
        <v>485</v>
      </c>
    </row>
    <row r="9" spans="1:4" ht="35" customHeight="1" x14ac:dyDescent="0.35">
      <c r="A9" s="23" t="s">
        <v>486</v>
      </c>
      <c r="B9" s="12" t="s">
        <v>487</v>
      </c>
      <c r="C9" s="23" t="s">
        <v>488</v>
      </c>
      <c r="D9" s="12" t="s">
        <v>489</v>
      </c>
    </row>
    <row r="11" spans="1:4" x14ac:dyDescent="0.35">
      <c r="A11" s="41" t="s">
        <v>490</v>
      </c>
      <c r="B11" s="35"/>
      <c r="C11" s="35"/>
      <c r="D11" s="35"/>
    </row>
    <row r="12" spans="1:4" ht="22" customHeight="1" x14ac:dyDescent="0.35">
      <c r="A12" s="45" t="s">
        <v>491</v>
      </c>
      <c r="B12" s="39"/>
      <c r="C12" s="44" t="s">
        <v>492</v>
      </c>
      <c r="D12" s="39"/>
    </row>
    <row r="13" spans="1:4" ht="22" customHeight="1" x14ac:dyDescent="0.35">
      <c r="A13" s="45" t="s">
        <v>493</v>
      </c>
      <c r="B13" s="39"/>
      <c r="C13" s="44" t="s">
        <v>494</v>
      </c>
      <c r="D13" s="39"/>
    </row>
    <row r="14" spans="1:4" ht="22" customHeight="1" x14ac:dyDescent="0.35">
      <c r="A14" s="45" t="s">
        <v>495</v>
      </c>
      <c r="B14" s="39"/>
      <c r="C14" s="44" t="s">
        <v>496</v>
      </c>
      <c r="D14" s="39"/>
    </row>
    <row r="15" spans="1:4" ht="22" customHeight="1" x14ac:dyDescent="0.35">
      <c r="A15" s="45" t="s">
        <v>497</v>
      </c>
      <c r="B15" s="39"/>
      <c r="C15" s="44" t="s">
        <v>498</v>
      </c>
      <c r="D15" s="39"/>
    </row>
  </sheetData>
  <mergeCells count="10">
    <mergeCell ref="A1:D1"/>
    <mergeCell ref="C12:D12"/>
    <mergeCell ref="A15:B15"/>
    <mergeCell ref="C15:D15"/>
    <mergeCell ref="A13:B13"/>
    <mergeCell ref="A14:B14"/>
    <mergeCell ref="C14:D14"/>
    <mergeCell ref="C13:D13"/>
    <mergeCell ref="A11:D11"/>
    <mergeCell ref="A12:B1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
  <sheetViews>
    <sheetView showGridLines="0" workbookViewId="0">
      <pane ySplit="13" topLeftCell="A14" activePane="bottomLeft" state="frozen"/>
      <selection pane="bottomLeft"/>
    </sheetView>
  </sheetViews>
  <sheetFormatPr defaultRowHeight="14.5" x14ac:dyDescent="0.35"/>
  <cols>
    <col min="1" max="1" width="12" customWidth="1"/>
    <col min="2" max="2" width="35" customWidth="1"/>
    <col min="3" max="3" width="40" customWidth="1"/>
    <col min="4" max="4" width="25" customWidth="1"/>
    <col min="5" max="5" width="40" customWidth="1"/>
    <col min="6" max="6" width="30" customWidth="1"/>
    <col min="7" max="7" width="40" customWidth="1"/>
  </cols>
  <sheetData>
    <row r="1" spans="1:7" ht="25" customHeight="1" x14ac:dyDescent="0.35">
      <c r="A1" s="43" t="s">
        <v>499</v>
      </c>
      <c r="B1" s="35"/>
      <c r="C1" s="35"/>
      <c r="D1" s="35"/>
      <c r="E1" s="35"/>
      <c r="F1" s="35"/>
      <c r="G1" s="35"/>
    </row>
    <row r="3" spans="1:7" ht="22" customHeight="1" x14ac:dyDescent="0.35">
      <c r="A3" s="46" t="s">
        <v>500</v>
      </c>
      <c r="B3" s="35"/>
      <c r="C3" s="35"/>
      <c r="D3" s="35"/>
    </row>
    <row r="4" spans="1:7" ht="20" customHeight="1" x14ac:dyDescent="0.35">
      <c r="A4" s="5" t="s">
        <v>501</v>
      </c>
      <c r="B4" s="3" t="s">
        <v>502</v>
      </c>
      <c r="C4" s="37" t="s">
        <v>503</v>
      </c>
      <c r="D4" s="38"/>
      <c r="E4" s="38"/>
      <c r="F4" s="39"/>
      <c r="G4" s="25" t="s">
        <v>504</v>
      </c>
    </row>
    <row r="5" spans="1:7" ht="20" customHeight="1" x14ac:dyDescent="0.35">
      <c r="A5" s="5" t="s">
        <v>505</v>
      </c>
      <c r="B5" s="3" t="s">
        <v>506</v>
      </c>
      <c r="C5" s="37" t="s">
        <v>507</v>
      </c>
      <c r="D5" s="38"/>
      <c r="E5" s="38"/>
      <c r="F5" s="39"/>
      <c r="G5" s="25" t="s">
        <v>504</v>
      </c>
    </row>
    <row r="6" spans="1:7" ht="20" customHeight="1" x14ac:dyDescent="0.35">
      <c r="A6" s="5" t="s">
        <v>508</v>
      </c>
      <c r="B6" s="3" t="s">
        <v>509</v>
      </c>
      <c r="C6" s="37" t="s">
        <v>510</v>
      </c>
      <c r="D6" s="38"/>
      <c r="E6" s="38"/>
      <c r="F6" s="39"/>
      <c r="G6" s="25" t="s">
        <v>511</v>
      </c>
    </row>
    <row r="7" spans="1:7" ht="20" customHeight="1" x14ac:dyDescent="0.35">
      <c r="A7" s="5" t="s">
        <v>512</v>
      </c>
      <c r="B7" s="3" t="s">
        <v>513</v>
      </c>
      <c r="C7" s="37" t="s">
        <v>514</v>
      </c>
      <c r="D7" s="38"/>
      <c r="E7" s="38"/>
      <c r="F7" s="39"/>
      <c r="G7" s="25" t="s">
        <v>504</v>
      </c>
    </row>
    <row r="8" spans="1:7" ht="20" customHeight="1" x14ac:dyDescent="0.35">
      <c r="A8" s="5" t="s">
        <v>515</v>
      </c>
      <c r="B8" s="3" t="s">
        <v>516</v>
      </c>
      <c r="C8" s="37" t="s">
        <v>517</v>
      </c>
      <c r="D8" s="38"/>
      <c r="E8" s="38"/>
      <c r="F8" s="39"/>
      <c r="G8" s="25" t="s">
        <v>504</v>
      </c>
    </row>
    <row r="9" spans="1:7" ht="20" customHeight="1" x14ac:dyDescent="0.35">
      <c r="A9" s="5" t="s">
        <v>518</v>
      </c>
      <c r="B9" s="3" t="s">
        <v>519</v>
      </c>
      <c r="C9" s="37" t="s">
        <v>520</v>
      </c>
      <c r="D9" s="38"/>
      <c r="E9" s="38"/>
      <c r="F9" s="39"/>
      <c r="G9" s="25" t="s">
        <v>504</v>
      </c>
    </row>
    <row r="12" spans="1:7" ht="22" customHeight="1" x14ac:dyDescent="0.35">
      <c r="A12" s="47" t="s">
        <v>521</v>
      </c>
      <c r="B12" s="35"/>
      <c r="C12" s="35"/>
      <c r="D12" s="35"/>
      <c r="E12" s="35"/>
      <c r="F12" s="35"/>
      <c r="G12" s="35"/>
    </row>
    <row r="13" spans="1:7" ht="22" customHeight="1" x14ac:dyDescent="0.35">
      <c r="A13" s="2" t="s">
        <v>522</v>
      </c>
      <c r="B13" s="2" t="s">
        <v>523</v>
      </c>
      <c r="C13" s="2" t="s">
        <v>57</v>
      </c>
      <c r="D13" s="2" t="s">
        <v>154</v>
      </c>
      <c r="E13" s="2" t="s">
        <v>524</v>
      </c>
      <c r="F13" s="2" t="s">
        <v>525</v>
      </c>
      <c r="G13" s="2" t="s">
        <v>526</v>
      </c>
    </row>
    <row r="14" spans="1:7" ht="45" customHeight="1" x14ac:dyDescent="0.35">
      <c r="A14" s="15" t="s">
        <v>527</v>
      </c>
      <c r="B14" s="16" t="s">
        <v>432</v>
      </c>
      <c r="C14" s="16" t="s">
        <v>164</v>
      </c>
      <c r="D14" s="16" t="s">
        <v>528</v>
      </c>
      <c r="E14" s="16" t="s">
        <v>529</v>
      </c>
      <c r="F14" s="16" t="s">
        <v>530</v>
      </c>
      <c r="G14" s="16" t="s">
        <v>531</v>
      </c>
    </row>
    <row r="15" spans="1:7" ht="45" customHeight="1" x14ac:dyDescent="0.35">
      <c r="A15" s="5" t="s">
        <v>532</v>
      </c>
      <c r="B15" s="12" t="s">
        <v>442</v>
      </c>
      <c r="C15" s="12" t="s">
        <v>137</v>
      </c>
      <c r="D15" s="12" t="s">
        <v>533</v>
      </c>
      <c r="E15" s="12" t="s">
        <v>534</v>
      </c>
      <c r="F15" s="12" t="s">
        <v>535</v>
      </c>
      <c r="G15" s="12" t="s">
        <v>536</v>
      </c>
    </row>
    <row r="16" spans="1:7" ht="45" customHeight="1" x14ac:dyDescent="0.35">
      <c r="A16" s="15" t="s">
        <v>537</v>
      </c>
      <c r="B16" s="16" t="s">
        <v>439</v>
      </c>
      <c r="C16" s="16" t="s">
        <v>107</v>
      </c>
      <c r="D16" s="16" t="s">
        <v>538</v>
      </c>
      <c r="E16" s="16" t="s">
        <v>539</v>
      </c>
      <c r="F16" s="16" t="s">
        <v>540</v>
      </c>
      <c r="G16" s="16" t="s">
        <v>541</v>
      </c>
    </row>
  </sheetData>
  <mergeCells count="9">
    <mergeCell ref="A1:G1"/>
    <mergeCell ref="C8:F8"/>
    <mergeCell ref="C4:F4"/>
    <mergeCell ref="A3:D3"/>
    <mergeCell ref="A12:G12"/>
    <mergeCell ref="C6:F6"/>
    <mergeCell ref="C7:F7"/>
    <mergeCell ref="C5:F5"/>
    <mergeCell ref="C9:F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
  <sheetViews>
    <sheetView showGridLines="0" workbookViewId="0">
      <pane ySplit="2" topLeftCell="A3" activePane="bottomLeft" state="frozen"/>
      <selection pane="bottomLeft"/>
    </sheetView>
  </sheetViews>
  <sheetFormatPr defaultRowHeight="14.5" x14ac:dyDescent="0.35"/>
  <cols>
    <col min="1" max="1" width="6" customWidth="1"/>
    <col min="2" max="2" width="25" customWidth="1"/>
    <col min="3" max="3" width="30" customWidth="1"/>
    <col min="4" max="4" width="22" customWidth="1"/>
    <col min="5" max="5" width="20" customWidth="1"/>
    <col min="6" max="6" width="25" customWidth="1"/>
    <col min="7" max="7" width="35" customWidth="1"/>
  </cols>
  <sheetData>
    <row r="1" spans="1:7" ht="25" customHeight="1" x14ac:dyDescent="0.35">
      <c r="A1" s="43" t="s">
        <v>542</v>
      </c>
      <c r="B1" s="35"/>
      <c r="C1" s="35"/>
      <c r="D1" s="35"/>
      <c r="E1" s="35"/>
      <c r="F1" s="35"/>
      <c r="G1" s="35"/>
    </row>
    <row r="2" spans="1:7" ht="25" customHeight="1" x14ac:dyDescent="0.35">
      <c r="A2" s="11" t="s">
        <v>54</v>
      </c>
      <c r="B2" s="11" t="s">
        <v>543</v>
      </c>
      <c r="C2" s="11" t="s">
        <v>544</v>
      </c>
      <c r="D2" s="11" t="s">
        <v>545</v>
      </c>
      <c r="E2" s="11" t="s">
        <v>546</v>
      </c>
      <c r="F2" s="11" t="s">
        <v>59</v>
      </c>
      <c r="G2" s="11" t="s">
        <v>547</v>
      </c>
    </row>
    <row r="3" spans="1:7" ht="22" customHeight="1" x14ac:dyDescent="0.35">
      <c r="A3" s="5" t="s">
        <v>64</v>
      </c>
      <c r="B3" s="13" t="s">
        <v>548</v>
      </c>
      <c r="C3" s="26" t="s">
        <v>107</v>
      </c>
      <c r="D3" s="27">
        <v>2400</v>
      </c>
      <c r="E3" s="28">
        <v>38</v>
      </c>
      <c r="F3" s="12" t="s">
        <v>99</v>
      </c>
      <c r="G3" s="12" t="s">
        <v>106</v>
      </c>
    </row>
    <row r="4" spans="1:7" ht="22" customHeight="1" x14ac:dyDescent="0.35">
      <c r="A4" s="15" t="s">
        <v>74</v>
      </c>
      <c r="B4" s="17" t="s">
        <v>548</v>
      </c>
      <c r="C4" s="29" t="s">
        <v>116</v>
      </c>
      <c r="D4" s="27">
        <v>1900</v>
      </c>
      <c r="E4" s="28">
        <v>25</v>
      </c>
      <c r="F4" s="16" t="s">
        <v>89</v>
      </c>
      <c r="G4" s="16" t="s">
        <v>115</v>
      </c>
    </row>
    <row r="5" spans="1:7" ht="22" customHeight="1" x14ac:dyDescent="0.35">
      <c r="A5" s="5" t="s">
        <v>84</v>
      </c>
      <c r="B5" s="13" t="s">
        <v>548</v>
      </c>
      <c r="C5" s="26" t="s">
        <v>123</v>
      </c>
      <c r="D5" s="27">
        <v>850</v>
      </c>
      <c r="E5" s="28">
        <v>30</v>
      </c>
      <c r="F5" s="12" t="s">
        <v>109</v>
      </c>
      <c r="G5" s="12" t="s">
        <v>122</v>
      </c>
    </row>
    <row r="6" spans="1:7" ht="22" customHeight="1" x14ac:dyDescent="0.35">
      <c r="A6" s="15" t="s">
        <v>94</v>
      </c>
      <c r="B6" s="17" t="s">
        <v>548</v>
      </c>
      <c r="C6" s="29" t="s">
        <v>549</v>
      </c>
      <c r="D6" s="27">
        <v>1200</v>
      </c>
      <c r="E6" s="28">
        <v>35</v>
      </c>
      <c r="F6" s="16" t="s">
        <v>89</v>
      </c>
      <c r="G6" s="16" t="s">
        <v>96</v>
      </c>
    </row>
    <row r="7" spans="1:7" ht="22" customHeight="1" x14ac:dyDescent="0.35">
      <c r="A7" s="5" t="s">
        <v>104</v>
      </c>
      <c r="B7" s="13" t="s">
        <v>550</v>
      </c>
      <c r="C7" s="26" t="s">
        <v>137</v>
      </c>
      <c r="D7" s="27">
        <v>1500</v>
      </c>
      <c r="E7" s="28">
        <v>18</v>
      </c>
      <c r="F7" s="12" t="s">
        <v>109</v>
      </c>
      <c r="G7" s="12" t="s">
        <v>136</v>
      </c>
    </row>
    <row r="8" spans="1:7" ht="22" customHeight="1" x14ac:dyDescent="0.35">
      <c r="A8" s="15" t="s">
        <v>114</v>
      </c>
      <c r="B8" s="17" t="s">
        <v>550</v>
      </c>
      <c r="C8" s="29" t="s">
        <v>195</v>
      </c>
      <c r="D8" s="27">
        <v>950</v>
      </c>
      <c r="E8" s="28">
        <v>15</v>
      </c>
      <c r="F8" s="16" t="s">
        <v>89</v>
      </c>
      <c r="G8" s="16" t="s">
        <v>136</v>
      </c>
    </row>
    <row r="9" spans="1:7" ht="22" customHeight="1" x14ac:dyDescent="0.35">
      <c r="A9" s="5" t="s">
        <v>121</v>
      </c>
      <c r="B9" s="13" t="s">
        <v>551</v>
      </c>
      <c r="C9" s="26" t="s">
        <v>130</v>
      </c>
      <c r="D9" s="27">
        <v>1600</v>
      </c>
      <c r="E9" s="28">
        <v>22</v>
      </c>
      <c r="F9" s="12" t="s">
        <v>109</v>
      </c>
      <c r="G9" s="12" t="s">
        <v>129</v>
      </c>
    </row>
    <row r="10" spans="1:7" ht="22" customHeight="1" x14ac:dyDescent="0.35">
      <c r="A10" s="15" t="s">
        <v>128</v>
      </c>
      <c r="B10" s="17" t="s">
        <v>551</v>
      </c>
      <c r="C10" s="29" t="s">
        <v>219</v>
      </c>
      <c r="D10" s="27">
        <v>1100</v>
      </c>
      <c r="E10" s="28">
        <v>20</v>
      </c>
      <c r="F10" s="16" t="s">
        <v>89</v>
      </c>
      <c r="G10" s="16" t="s">
        <v>129</v>
      </c>
    </row>
    <row r="11" spans="1:7" ht="22" customHeight="1" x14ac:dyDescent="0.35">
      <c r="A11" s="5" t="s">
        <v>135</v>
      </c>
      <c r="B11" s="13" t="s">
        <v>552</v>
      </c>
      <c r="C11" s="26" t="s">
        <v>144</v>
      </c>
      <c r="D11" s="27">
        <v>1300</v>
      </c>
      <c r="E11" s="28">
        <v>28</v>
      </c>
      <c r="F11" s="12" t="s">
        <v>109</v>
      </c>
      <c r="G11" s="12" t="s">
        <v>143</v>
      </c>
    </row>
    <row r="12" spans="1:7" ht="22" customHeight="1" x14ac:dyDescent="0.35">
      <c r="A12" s="15" t="s">
        <v>142</v>
      </c>
      <c r="B12" s="17" t="s">
        <v>552</v>
      </c>
      <c r="C12" s="29" t="s">
        <v>553</v>
      </c>
      <c r="D12" s="27">
        <v>750</v>
      </c>
      <c r="E12" s="28">
        <v>24</v>
      </c>
      <c r="F12" s="16" t="s">
        <v>109</v>
      </c>
      <c r="G12" s="16" t="s">
        <v>554</v>
      </c>
    </row>
    <row r="13" spans="1:7" ht="22" customHeight="1" x14ac:dyDescent="0.35">
      <c r="A13" s="5" t="s">
        <v>555</v>
      </c>
      <c r="B13" s="13" t="s">
        <v>556</v>
      </c>
      <c r="C13" s="26" t="s">
        <v>557</v>
      </c>
      <c r="D13" s="27">
        <v>3200</v>
      </c>
      <c r="E13" s="28">
        <v>12</v>
      </c>
      <c r="F13" s="12" t="s">
        <v>79</v>
      </c>
      <c r="G13" s="12" t="s">
        <v>432</v>
      </c>
    </row>
    <row r="14" spans="1:7" ht="22" customHeight="1" x14ac:dyDescent="0.35">
      <c r="A14" s="15" t="s">
        <v>558</v>
      </c>
      <c r="B14" s="17" t="s">
        <v>556</v>
      </c>
      <c r="C14" s="29" t="s">
        <v>559</v>
      </c>
      <c r="D14" s="27">
        <v>2200</v>
      </c>
      <c r="E14" s="28">
        <v>10</v>
      </c>
      <c r="F14" s="16" t="s">
        <v>79</v>
      </c>
      <c r="G14" s="16" t="s">
        <v>442</v>
      </c>
    </row>
    <row r="15" spans="1:7" ht="22" customHeight="1" x14ac:dyDescent="0.35">
      <c r="A15" s="5" t="s">
        <v>560</v>
      </c>
      <c r="B15" s="13" t="s">
        <v>556</v>
      </c>
      <c r="C15" s="26" t="s">
        <v>561</v>
      </c>
      <c r="D15" s="27">
        <v>450</v>
      </c>
      <c r="E15" s="28">
        <v>15</v>
      </c>
      <c r="F15" s="12" t="s">
        <v>562</v>
      </c>
      <c r="G15" s="12" t="s">
        <v>439</v>
      </c>
    </row>
    <row r="16" spans="1:7" ht="22" customHeight="1" x14ac:dyDescent="0.35">
      <c r="A16" s="30" t="s">
        <v>563</v>
      </c>
      <c r="B16" s="31"/>
      <c r="C16" s="31"/>
      <c r="D16" s="32">
        <f>SUM(D3:D15)</f>
        <v>19400</v>
      </c>
      <c r="E16" s="33">
        <f>AVERAGE(E3:E15)</f>
        <v>22.46153846153846</v>
      </c>
      <c r="F16" s="31"/>
      <c r="G16" s="31"/>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TOC &amp; Dashboard</vt:lpstr>
      <vt:lpstr>Keyword Mapping</vt:lpstr>
      <vt:lpstr>30-day Blog Calendar</vt:lpstr>
      <vt:lpstr>Sheet1</vt:lpstr>
      <vt:lpstr>Social Media Plan</vt:lpstr>
      <vt:lpstr>Internal Linking</vt:lpstr>
      <vt:lpstr>Template Brief Konten</vt:lpstr>
      <vt:lpstr>SOP &amp; Konten Briefs</vt:lpstr>
      <vt:lpstr>Master Data 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arby ardiansyah</cp:lastModifiedBy>
  <dcterms:created xsi:type="dcterms:W3CDTF">2026-08-28T11:57:34Z</dcterms:created>
  <dcterms:modified xsi:type="dcterms:W3CDTF">2026-09-09T07:58:19Z</dcterms:modified>
</cp:coreProperties>
</file>